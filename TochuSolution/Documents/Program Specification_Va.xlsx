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ata\Projects\TochuSource\Tochu\Documents\"/>
    </mc:Choice>
  </mc:AlternateContent>
  <xr:revisionPtr revIDLastSave="0" documentId="8_{3D264352-DDBD-486E-9820-908FECCA3C7B}" xr6:coauthVersionLast="47" xr6:coauthVersionMax="47" xr10:uidLastSave="{00000000-0000-0000-0000-000000000000}"/>
  <bookViews>
    <workbookView xWindow="9555" yWindow="0" windowWidth="17790" windowHeight="15585" tabRatio="770" firstSheet="2" activeTab="5" xr2:uid="{00000000-000D-0000-FFFF-FFFF00000000}"/>
  </bookViews>
  <sheets>
    <sheet name="画面構成(Screen Layout)" sheetId="1" r:id="rId1"/>
    <sheet name="検索画面(Search Screen)" sheetId="6" r:id="rId2"/>
    <sheet name="検索グリッド(Search Grid)" sheetId="13" r:id="rId3"/>
    <sheet name="Sheet1" sheetId="17" r:id="rId4"/>
    <sheet name="検索-DATA (Search Data)" sheetId="11" r:id="rId5"/>
    <sheet name="登録画面(Registration Screen)" sheetId="3" r:id="rId6"/>
    <sheet name="マスタ編集(Master Maintenance) ①" sheetId="7" r:id="rId7"/>
    <sheet name="マスタDATA (Master Data)①" sheetId="8" r:id="rId8"/>
    <sheet name="マスタDATA (Master Data) ②" sheetId="16" r:id="rId9"/>
    <sheet name="マスタ編集(Master Maintenance) ②" sheetId="15" r:id="rId10"/>
    <sheet name="自動入力ロジック(Auto-Fill Logic)" sheetId="2" r:id="rId11"/>
    <sheet name="品番M-DATA (Part Number M-Data)" sheetId="9" r:id="rId12"/>
    <sheet name="画面テンプレート(Screen Template)" sheetId="5" r:id="rId13"/>
    <sheet name="Sheet2" sheetId="12" r:id="rId14"/>
  </sheets>
  <definedNames>
    <definedName name="_xlnm._FilterDatabase" localSheetId="11" hidden="1">'品番M-DATA (Part Number M-Data)'!$A$1:$E$19</definedName>
    <definedName name="_xlnm.Print_Area" localSheetId="6">'マスタ編集(Master Maintenance) ①'!$A$1:$AH$75</definedName>
    <definedName name="_xlnm.Print_Area" localSheetId="9">'マスタ編集(Master Maintenance) ②'!$A$1:$AH$72</definedName>
    <definedName name="_xlnm.Print_Area" localSheetId="1">'検索画面(Search Screen)'!$A$1:$AH$68</definedName>
    <definedName name="_xlnm.Print_Area" localSheetId="12">'画面テンプレート(Screen Template)'!$A$1:$AH$73</definedName>
    <definedName name="_xlnm.Print_Area" localSheetId="5">'登録画面(Registration Screen)'!$A$1:$AH$72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5" i="2" l="1"/>
  <c r="Y34" i="2"/>
  <c r="Y33" i="2"/>
  <c r="Y32" i="2"/>
  <c r="Y31" i="2"/>
  <c r="Y30" i="2"/>
  <c r="Y29" i="2"/>
  <c r="Y28" i="2"/>
  <c r="Y27" i="2"/>
  <c r="Y26" i="2"/>
  <c r="Y25" i="2"/>
  <c r="Y36" i="2" l="1"/>
</calcChain>
</file>

<file path=xl/sharedStrings.xml><?xml version="1.0" encoding="utf-8"?>
<sst xmlns="http://schemas.openxmlformats.org/spreadsheetml/2006/main" count="809" uniqueCount="316">
  <si>
    <t>⑥</t>
    <phoneticPr fontId="1"/>
  </si>
  <si>
    <t>mesh合計</t>
    <rPh sb="4" eb="6">
      <t>ゴウケイ</t>
    </rPh>
    <phoneticPr fontId="1"/>
  </si>
  <si>
    <t>⑤の合計</t>
    <rPh sb="2" eb="4">
      <t>ゴウケイ</t>
    </rPh>
    <phoneticPr fontId="1"/>
  </si>
  <si>
    <t>必ず100とする</t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</si>
  <si>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</si>
  <si>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</si>
  <si>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</si>
  <si>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</si>
  <si>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⑦</t>
    <phoneticPr fontId="1"/>
  </si>
  <si>
    <t>((mesh 14 *7) + (mesh 18.5 *10) + (mesh 26 *20) + (mesh 36 *30) + (mesh 50 *40) + (mesh 70 *50) + (mesh 100 *70) + (mesh 140 *100) + (mesh 200 *140) + (mesh 280 *200) + (mesh PAN *300)) / 100</t>
    <phoneticPr fontId="1"/>
  </si>
  <si>
    <t>PRODUCT</t>
  </si>
  <si>
    <t>NUM</t>
  </si>
  <si>
    <t>MIN</t>
  </si>
  <si>
    <t>MAX</t>
  </si>
  <si>
    <t>NM</t>
  </si>
  <si>
    <t>ENUM</t>
  </si>
  <si>
    <t>20-GE</t>
  </si>
  <si>
    <t>m14</t>
  </si>
  <si>
    <t>m18.5</t>
  </si>
  <si>
    <t>m26</t>
  </si>
  <si>
    <t>m36</t>
  </si>
  <si>
    <t>m50</t>
  </si>
  <si>
    <t>m70</t>
  </si>
  <si>
    <t>m100</t>
  </si>
  <si>
    <t>m140</t>
  </si>
  <si>
    <t>m200</t>
  </si>
  <si>
    <t>m280</t>
  </si>
  <si>
    <t>mPAN</t>
  </si>
  <si>
    <t>SELECT</t>
  </si>
  <si>
    <t>A.*,</t>
  </si>
  <si>
    <t>B.NM,</t>
  </si>
  <si>
    <t>B.ENUM</t>
  </si>
  <si>
    <t>FROM SI_SEINOUMST A</t>
  </si>
  <si>
    <t>LEFT JOIN SI_CODEMST B</t>
  </si>
  <si>
    <t xml:space="preserve">    ON B.ID = A.NUM AND B.KBN = 'A'</t>
  </si>
  <si>
    <t>WHERE PRODUCT = '20-GE'</t>
  </si>
  <si>
    <t>ORDER BY A.NUM</t>
  </si>
  <si>
    <t>NUM</t>
    <phoneticPr fontId="1"/>
  </si>
  <si>
    <t>⑤</t>
    <phoneticPr fontId="1"/>
  </si>
  <si>
    <t>＊</t>
    <phoneticPr fontId="1"/>
  </si>
  <si>
    <t>・</t>
    <phoneticPr fontId="1"/>
  </si>
  <si>
    <t>⑤データ作成ルール（データ自動作成）</t>
    <rPh sb="4" eb="6">
      <t>サクセイ</t>
    </rPh>
    <rPh sb="13" eb="17">
      <t>ジドウサクセイ</t>
    </rPh>
    <phoneticPr fontId="1"/>
  </si>
  <si>
    <t>右肩上がりから</t>
    <rPh sb="0" eb="2">
      <t>ミギカタ</t>
    </rPh>
    <rPh sb="2" eb="3">
      <t>ア</t>
    </rPh>
    <phoneticPr fontId="1"/>
  </si>
  <si>
    <t>左下がりのデータとする</t>
  </si>
  <si>
    <t>値の合計＝100　⑥</t>
    <rPh sb="0" eb="1">
      <t>アタイ</t>
    </rPh>
    <rPh sb="2" eb="4">
      <t>ゴウケイ</t>
    </rPh>
    <phoneticPr fontId="1"/>
  </si>
  <si>
    <t>B</t>
    <phoneticPr fontId="1"/>
  </si>
  <si>
    <t>A</t>
  </si>
  <si>
    <t>32.5～36.5</t>
    <phoneticPr fontId="1"/>
  </si>
  <si>
    <t>63.5～67.5</t>
    <phoneticPr fontId="1"/>
  </si>
  <si>
    <t>32.5+67.5=100</t>
    <phoneticPr fontId="1"/>
  </si>
  <si>
    <t>36.5+63.5=100</t>
    <phoneticPr fontId="1"/>
  </si>
  <si>
    <t>MIN</t>
    <phoneticPr fontId="1"/>
  </si>
  <si>
    <t>MAX</t>
    <phoneticPr fontId="1"/>
  </si>
  <si>
    <t>➡</t>
    <phoneticPr fontId="1"/>
  </si>
  <si>
    <t xml:space="preserve">MIN ～MAX間でランダム </t>
    <phoneticPr fontId="1"/>
  </si>
  <si>
    <t>データ例</t>
    <rPh sb="3" eb="4">
      <t>レイ</t>
    </rPh>
    <phoneticPr fontId="1"/>
  </si>
  <si>
    <t>倍率</t>
    <rPh sb="0" eb="2">
      <t>バイリツ</t>
    </rPh>
    <phoneticPr fontId="1"/>
  </si>
  <si>
    <t>AFS.FN</t>
    <phoneticPr fontId="1"/>
  </si>
  <si>
    <t>樹脂分</t>
    <phoneticPr fontId="1"/>
  </si>
  <si>
    <t>抗折力X</t>
    <phoneticPr fontId="1"/>
  </si>
  <si>
    <t>抗折力R</t>
    <phoneticPr fontId="1"/>
  </si>
  <si>
    <t>粘着点</t>
    <phoneticPr fontId="1"/>
  </si>
  <si>
    <t>50～150</t>
    <phoneticPr fontId="1"/>
  </si>
  <si>
    <t>製品名</t>
    <rPh sb="0" eb="3">
      <t>セイヒンメイ</t>
    </rPh>
    <phoneticPr fontId="1"/>
  </si>
  <si>
    <t>納期</t>
    <rPh sb="0" eb="2">
      <t>ノウキ</t>
    </rPh>
    <phoneticPr fontId="1"/>
  </si>
  <si>
    <t>荷姿</t>
    <rPh sb="0" eb="2">
      <t>ニスガタ</t>
    </rPh>
    <phoneticPr fontId="1"/>
  </si>
  <si>
    <t>樹脂分</t>
    <rPh sb="0" eb="3">
      <t>ジュシブン</t>
    </rPh>
    <phoneticPr fontId="1"/>
  </si>
  <si>
    <t>m14</t>
    <phoneticPr fontId="1"/>
  </si>
  <si>
    <t>m18.5</t>
    <phoneticPr fontId="1"/>
  </si>
  <si>
    <t>m26</t>
    <phoneticPr fontId="1"/>
  </si>
  <si>
    <t>m36</t>
    <phoneticPr fontId="1"/>
  </si>
  <si>
    <t>m50</t>
    <phoneticPr fontId="1"/>
  </si>
  <si>
    <t>m70</t>
    <phoneticPr fontId="1"/>
  </si>
  <si>
    <t>m100</t>
    <phoneticPr fontId="1"/>
  </si>
  <si>
    <t>m140</t>
    <phoneticPr fontId="1"/>
  </si>
  <si>
    <t>m200</t>
    <phoneticPr fontId="1"/>
  </si>
  <si>
    <t>m280</t>
    <phoneticPr fontId="1"/>
  </si>
  <si>
    <t>mPAN</t>
    <phoneticPr fontId="1"/>
  </si>
  <si>
    <t>m合計</t>
    <rPh sb="1" eb="3">
      <t>ゴウケイ</t>
    </rPh>
    <phoneticPr fontId="1"/>
  </si>
  <si>
    <t>kgf/c㎡</t>
    <phoneticPr fontId="1"/>
  </si>
  <si>
    <t>N/c㎡</t>
    <phoneticPr fontId="1"/>
  </si>
  <si>
    <t>(?～?)</t>
    <phoneticPr fontId="1"/>
  </si>
  <si>
    <t>グラフエリア</t>
    <phoneticPr fontId="1"/>
  </si>
  <si>
    <t>～</t>
    <phoneticPr fontId="1"/>
  </si>
  <si>
    <t>受注日</t>
    <rPh sb="0" eb="3">
      <t>ジュチュウビ</t>
    </rPh>
    <phoneticPr fontId="1"/>
  </si>
  <si>
    <t>新規</t>
    <rPh sb="0" eb="2">
      <t>シンキ</t>
    </rPh>
    <phoneticPr fontId="1"/>
  </si>
  <si>
    <t>単位</t>
    <rPh sb="0" eb="2">
      <t>タンイ</t>
    </rPh>
    <phoneticPr fontId="1"/>
  </si>
  <si>
    <t>□</t>
    <phoneticPr fontId="1"/>
  </si>
  <si>
    <t>xxx</t>
    <phoneticPr fontId="1"/>
  </si>
  <si>
    <t>●</t>
    <phoneticPr fontId="1"/>
  </si>
  <si>
    <t>抗折力X</t>
  </si>
  <si>
    <t>粘着点</t>
  </si>
  <si>
    <t>に</t>
    <phoneticPr fontId="1"/>
  </si>
  <si>
    <t>410-06482</t>
  </si>
  <si>
    <t>410-04966</t>
  </si>
  <si>
    <t>A.TorSCD,</t>
  </si>
  <si>
    <t>B.TorSSNM,</t>
  </si>
  <si>
    <t>A.ItemCD,</t>
  </si>
  <si>
    <t>A.UserHinban,</t>
  </si>
  <si>
    <t>A.UserHinmei</t>
  </si>
  <si>
    <t>FROM T0000MS_UserHinban A</t>
  </si>
  <si>
    <t>LEFT JOIN T0000MS_TorS B ON B.TorSCD = A.TorSCD</t>
  </si>
  <si>
    <t>ORDER BY ItemCD</t>
  </si>
  <si>
    <t>【品番マスタ】</t>
    <rPh sb="1" eb="3">
      <t>ヒンバン</t>
    </rPh>
    <phoneticPr fontId="1"/>
  </si>
  <si>
    <t>受注No</t>
    <rPh sb="0" eb="2">
      <t>ジュチュウ</t>
    </rPh>
    <phoneticPr fontId="1"/>
  </si>
  <si>
    <t>先方品番</t>
    <rPh sb="0" eb="4">
      <t>センポウヒンバン</t>
    </rPh>
    <phoneticPr fontId="1"/>
  </si>
  <si>
    <t>受注数</t>
    <rPh sb="0" eb="3">
      <t>ジュチュウスウ</t>
    </rPh>
    <phoneticPr fontId="1"/>
  </si>
  <si>
    <t>顧客名</t>
    <rPh sb="0" eb="2">
      <t>コキャク</t>
    </rPh>
    <rPh sb="2" eb="3">
      <t>メイ</t>
    </rPh>
    <phoneticPr fontId="1"/>
  </si>
  <si>
    <t>WHERE</t>
    <phoneticPr fontId="1"/>
  </si>
  <si>
    <t>(UserHinban LIKE '05-%' OR UserHinban LIKE '11-%' OR UserHinban LIKE '16-%')</t>
    <phoneticPr fontId="1"/>
  </si>
  <si>
    <t>420-06081</t>
  </si>
  <si>
    <t>420-06932</t>
  </si>
  <si>
    <t>420-03380</t>
  </si>
  <si>
    <t>470-02533</t>
  </si>
  <si>
    <t>420-03230</t>
  </si>
  <si>
    <t>420-04082</t>
  </si>
  <si>
    <t>420-06199</t>
  </si>
  <si>
    <t>420-05519</t>
  </si>
  <si>
    <t>420-09402</t>
  </si>
  <si>
    <t>420-00310</t>
  </si>
  <si>
    <t>420-00370</t>
  </si>
  <si>
    <t>420-00470</t>
  </si>
  <si>
    <t>410-02004</t>
  </si>
  <si>
    <t>410-03349</t>
  </si>
  <si>
    <t>410-07175</t>
  </si>
  <si>
    <t>410-05502</t>
  </si>
  <si>
    <t>480-05060</t>
  </si>
  <si>
    <t>荷姿名</t>
    <rPh sb="0" eb="2">
      <t>ニスガタ</t>
    </rPh>
    <rPh sb="2" eb="3">
      <t>メイ</t>
    </rPh>
    <phoneticPr fontId="1"/>
  </si>
  <si>
    <t>顧客</t>
    <rPh sb="0" eb="2">
      <t>コキャク</t>
    </rPh>
    <phoneticPr fontId="1"/>
  </si>
  <si>
    <t>410-02227</t>
  </si>
  <si>
    <t>Kg</t>
  </si>
  <si>
    <t>F</t>
  </si>
  <si>
    <t>11</t>
  </si>
  <si>
    <t>410-02653</t>
  </si>
  <si>
    <t>410-02660</t>
  </si>
  <si>
    <t>410-03096</t>
  </si>
  <si>
    <t>410-06903</t>
  </si>
  <si>
    <t>P</t>
  </si>
  <si>
    <t>製品</t>
    <rPh sb="0" eb="2">
      <t>セイヒン</t>
    </rPh>
    <phoneticPr fontId="1"/>
  </si>
  <si>
    <t>ロット</t>
    <phoneticPr fontId="1"/>
  </si>
  <si>
    <t>枝番</t>
    <rPh sb="0" eb="2">
      <t>エダバン</t>
    </rPh>
    <phoneticPr fontId="1"/>
  </si>
  <si>
    <t>A</t>
    <phoneticPr fontId="1"/>
  </si>
  <si>
    <t>AAA</t>
    <phoneticPr fontId="1"/>
  </si>
  <si>
    <t>BBB</t>
    <phoneticPr fontId="1"/>
  </si>
  <si>
    <t>P</t>
    <phoneticPr fontId="1"/>
  </si>
  <si>
    <t>p</t>
    <phoneticPr fontId="1"/>
  </si>
  <si>
    <t>T</t>
    <phoneticPr fontId="1"/>
  </si>
  <si>
    <t>CCC</t>
    <phoneticPr fontId="1"/>
  </si>
  <si>
    <t>XXXXXXXX</t>
    <phoneticPr fontId="1"/>
  </si>
  <si>
    <t>05-XXXX1</t>
    <phoneticPr fontId="1"/>
  </si>
  <si>
    <t>05-XXXX2</t>
  </si>
  <si>
    <t>05-XXXX3</t>
  </si>
  <si>
    <t>05-XXXX4</t>
  </si>
  <si>
    <t>05-XXXX5</t>
  </si>
  <si>
    <t>05-XXXX6</t>
  </si>
  <si>
    <t>05-XXXX7</t>
  </si>
  <si>
    <t>05-XXXX8</t>
  </si>
  <si>
    <t>05-XXXX9</t>
  </si>
  <si>
    <t>05-XXXX10</t>
  </si>
  <si>
    <t>05-XXXX11</t>
  </si>
  <si>
    <t>05-XXXX12</t>
  </si>
  <si>
    <t>05-XXXX13</t>
  </si>
  <si>
    <t>05-XXXX14</t>
  </si>
  <si>
    <t>05-XXXX15</t>
  </si>
  <si>
    <t>05-XXXX16</t>
  </si>
  <si>
    <t>05-XXXX17</t>
  </si>
  <si>
    <t>05-XXXX18</t>
  </si>
  <si>
    <t>（株）XXXXX</t>
    <rPh sb="1" eb="2">
      <t>カブ</t>
    </rPh>
    <phoneticPr fontId="1"/>
  </si>
  <si>
    <t>05-XXXX4</t>
    <phoneticPr fontId="1"/>
  </si>
  <si>
    <t>XXXX4</t>
    <phoneticPr fontId="1"/>
  </si>
  <si>
    <t>XXXX5</t>
  </si>
  <si>
    <t>XXXX6</t>
  </si>
  <si>
    <t>XXXX7</t>
  </si>
  <si>
    <t>XXXX8</t>
  </si>
  <si>
    <t>XXXX9</t>
  </si>
  <si>
    <t>XXXX10</t>
  </si>
  <si>
    <t>XXXX11</t>
  </si>
  <si>
    <t>XXXX12</t>
  </si>
  <si>
    <t>XXXX13</t>
  </si>
  <si>
    <t>XXXX14</t>
  </si>
  <si>
    <t>XXXX15</t>
  </si>
  <si>
    <t>XXXX16</t>
  </si>
  <si>
    <t>XXXX17</t>
  </si>
  <si>
    <t>∟</t>
    <phoneticPr fontId="1"/>
  </si>
  <si>
    <t>F</t>
    <phoneticPr fontId="1"/>
  </si>
  <si>
    <t>40000/500=8</t>
    <phoneticPr fontId="1"/>
  </si>
  <si>
    <t>No</t>
    <phoneticPr fontId="1"/>
  </si>
  <si>
    <t>重量</t>
    <rPh sb="0" eb="2">
      <t>ジュウリョウ</t>
    </rPh>
    <phoneticPr fontId="1"/>
  </si>
  <si>
    <t>コメント</t>
    <phoneticPr fontId="1"/>
  </si>
  <si>
    <t>▼</t>
    <phoneticPr fontId="1"/>
  </si>
  <si>
    <t>(?～?)</t>
  </si>
  <si>
    <t>2026/1/19</t>
    <phoneticPr fontId="1"/>
  </si>
  <si>
    <t>999-9999</t>
  </si>
  <si>
    <t>21-ASP7</t>
  </si>
  <si>
    <t>35-713</t>
  </si>
  <si>
    <t>KBN</t>
  </si>
  <si>
    <t>ID</t>
  </si>
  <si>
    <t>EYOBI</t>
  </si>
  <si>
    <t>« NULL »</t>
  </si>
  <si>
    <t>AFS.FN</t>
  </si>
  <si>
    <t>ID</t>
    <phoneticPr fontId="1"/>
  </si>
  <si>
    <t>納期
Delivery Date</t>
  </si>
  <si>
    <t xml:space="preserve">
Customer name</t>
  </si>
  <si>
    <t>製品名
Product name</t>
  </si>
  <si>
    <t>〇Created　〇Not created　●All</t>
  </si>
  <si>
    <t>Performance table</t>
  </si>
  <si>
    <t xml:space="preserve">
Party product number</t>
  </si>
  <si>
    <t>Product name</t>
  </si>
  <si>
    <t>EXCEL Output</t>
  </si>
  <si>
    <t>Batch printing</t>
  </si>
  <si>
    <t>Continuation</t>
  </si>
  <si>
    <t>data tree structure</t>
  </si>
  <si>
    <t>Parent order slip number</t>
  </si>
  <si>
    <t>child</t>
  </si>
  <si>
    <t>Order quantity/Packaging</t>
  </si>
  <si>
    <t>= Number of data x</t>
  </si>
  <si>
    <t>example:</t>
  </si>
  <si>
    <t>Order quantity = 40000</t>
  </si>
  <si>
    <t>Packing: Flexible container (500 kg)</t>
  </si>
  <si>
    <t>Delivering 8 bags = 8 child data required</t>
  </si>
  <si>
    <t>Reference: From Infragistics Sample</t>
  </si>
  <si>
    <t>親データ (Parent data)</t>
  </si>
  <si>
    <t>受注番号
Order number</t>
  </si>
  <si>
    <t>受注日
Order Date</t>
  </si>
  <si>
    <t>納入先CD
Delivery destination CD</t>
  </si>
  <si>
    <t>納入先名
Delivery name</t>
  </si>
  <si>
    <t>トウチュウ品番
Tochu product number</t>
  </si>
  <si>
    <t>製品コード
Product code</t>
  </si>
  <si>
    <t>受注数
Number of orders</t>
  </si>
  <si>
    <t>単位
Unit</t>
  </si>
  <si>
    <t>荷姿CD
Packing CD</t>
  </si>
  <si>
    <t>荷姿
Packing style</t>
  </si>
  <si>
    <t>品種分類CD
Variety classification CD</t>
  </si>
  <si>
    <t>子データ(Child data)</t>
  </si>
  <si>
    <t>（株）XXXXX</t>
  </si>
  <si>
    <t>（株(KK)）XXXXX</t>
  </si>
  <si>
    <t>ﾌﾚｺﾝ(Frecon) (500Kg)</t>
  </si>
  <si>
    <t>紙袋(paper bag)</t>
  </si>
  <si>
    <t>番号
number</t>
  </si>
  <si>
    <t>ロット番号
lot number</t>
  </si>
  <si>
    <t>製造日
Manufacturing date</t>
  </si>
  <si>
    <t>重量
weight</t>
  </si>
  <si>
    <t>荷姿
Packing Style</t>
  </si>
  <si>
    <r>
      <t xml:space="preserve">受注伝票
</t>
    </r>
    <r>
      <rPr>
        <sz val="8"/>
        <color theme="1"/>
        <rFont val="Calibri"/>
        <family val="2"/>
        <scheme val="minor"/>
      </rPr>
      <t>(Order slip)</t>
    </r>
  </si>
  <si>
    <r>
      <t xml:space="preserve">受注日
</t>
    </r>
    <r>
      <rPr>
        <sz val="8"/>
        <color theme="1"/>
        <rFont val="Calibri"/>
        <family val="2"/>
        <scheme val="minor"/>
      </rPr>
      <t>(Order date)</t>
    </r>
  </si>
  <si>
    <r>
      <t xml:space="preserve">顧客名
</t>
    </r>
    <r>
      <rPr>
        <sz val="9"/>
        <color theme="1"/>
        <rFont val="Calibri"/>
        <family val="2"/>
        <scheme val="minor"/>
      </rPr>
      <t>(customer name)</t>
    </r>
  </si>
  <si>
    <r>
      <t xml:space="preserve">先方品番
</t>
    </r>
    <r>
      <rPr>
        <sz val="8"/>
        <color theme="1"/>
        <rFont val="Calibri"/>
        <family val="2"/>
        <scheme val="minor"/>
      </rPr>
      <t>(Party product number)</t>
    </r>
  </si>
  <si>
    <r>
      <t xml:space="preserve">製品名
</t>
    </r>
    <r>
      <rPr>
        <sz val="8"/>
        <color theme="1"/>
        <rFont val="Calibri"/>
        <family val="2"/>
        <scheme val="minor"/>
      </rPr>
      <t>(Product name)</t>
    </r>
  </si>
  <si>
    <r>
      <t xml:space="preserve">荷姿
</t>
    </r>
    <r>
      <rPr>
        <sz val="8"/>
        <color theme="1"/>
        <rFont val="Calibri"/>
        <family val="2"/>
        <scheme val="minor"/>
      </rPr>
      <t>(Packing style)</t>
    </r>
  </si>
  <si>
    <r>
      <t xml:space="preserve">数量
</t>
    </r>
    <r>
      <rPr>
        <sz val="8"/>
        <color theme="1"/>
        <rFont val="Calibri"/>
        <family val="2"/>
        <scheme val="minor"/>
      </rPr>
      <t>(Quantity)</t>
    </r>
  </si>
  <si>
    <t>[単位]
(Unit)</t>
  </si>
  <si>
    <r>
      <t xml:space="preserve">ロット番号
</t>
    </r>
    <r>
      <rPr>
        <sz val="9"/>
        <color theme="1"/>
        <rFont val="Calibri"/>
        <family val="2"/>
        <scheme val="minor"/>
      </rPr>
      <t>(Lot number)</t>
    </r>
  </si>
  <si>
    <r>
      <t xml:space="preserve">削除
</t>
    </r>
    <r>
      <rPr>
        <b/>
        <sz val="8"/>
        <color theme="0"/>
        <rFont val="Calibri"/>
        <family val="2"/>
        <scheme val="minor"/>
      </rPr>
      <t>(Delete)</t>
    </r>
  </si>
  <si>
    <r>
      <t xml:space="preserve">登録／印刷
</t>
    </r>
    <r>
      <rPr>
        <sz val="8"/>
        <color theme="1"/>
        <rFont val="Calibri"/>
        <family val="2"/>
        <scheme val="minor"/>
      </rPr>
      <t>(Registration/Print)</t>
    </r>
  </si>
  <si>
    <r>
      <t xml:space="preserve">マスタの値を設定
</t>
    </r>
    <r>
      <rPr>
        <sz val="9"/>
        <color theme="1"/>
        <rFont val="Calibri"/>
        <family val="2"/>
        <scheme val="minor"/>
      </rPr>
      <t>(Set master value)</t>
    </r>
  </si>
  <si>
    <r>
      <t xml:space="preserve">検索
</t>
    </r>
    <r>
      <rPr>
        <sz val="8"/>
        <color theme="1"/>
        <rFont val="Calibri"/>
        <family val="2"/>
        <scheme val="minor"/>
      </rPr>
      <t>(Search)</t>
    </r>
  </si>
  <si>
    <r>
      <t xml:space="preserve">登録
</t>
    </r>
    <r>
      <rPr>
        <sz val="9"/>
        <color theme="1"/>
        <rFont val="Calibri"/>
        <family val="2"/>
        <scheme val="minor"/>
      </rPr>
      <t>(Registration)</t>
    </r>
  </si>
  <si>
    <r>
      <t xml:space="preserve">複写 
</t>
    </r>
    <r>
      <rPr>
        <b/>
        <sz val="8"/>
        <color theme="0"/>
        <rFont val="Calibri"/>
        <family val="2"/>
        <scheme val="minor"/>
      </rPr>
      <t>(Copy)</t>
    </r>
  </si>
  <si>
    <t>データ作成ロジック(Data creation logic)</t>
  </si>
  <si>
    <t>検索
(search)</t>
  </si>
  <si>
    <t>取引先CD
Client CD</t>
  </si>
  <si>
    <t>取引先（納入先名）
Business partner (shipping destination name)</t>
  </si>
  <si>
    <t>顧客品番
Customer part number</t>
  </si>
  <si>
    <t>品名
Product name</t>
  </si>
  <si>
    <t>（有(Yes)）XXXXX</t>
  </si>
  <si>
    <t>MINが最小から(MIN is the minimum)</t>
  </si>
  <si>
    <t>処理した方が分かりやすい (It is easier to understand if you process)</t>
  </si>
  <si>
    <r>
      <t xml:space="preserve">MIN最大値
</t>
    </r>
    <r>
      <rPr>
        <sz val="8"/>
        <color theme="1"/>
        <rFont val="Calibri"/>
        <family val="2"/>
        <scheme val="minor"/>
      </rPr>
      <t>(MIN maximum value)</t>
    </r>
  </si>
  <si>
    <r>
      <t xml:space="preserve">MIN最大値を除外
</t>
    </r>
    <r>
      <rPr>
        <sz val="8"/>
        <color theme="1"/>
        <rFont val="Calibri"/>
        <family val="2"/>
        <scheme val="minor"/>
      </rPr>
      <t>(MIN Exclude Maximum Value)</t>
    </r>
  </si>
  <si>
    <r>
      <t xml:space="preserve">した和
</t>
    </r>
    <r>
      <rPr>
        <sz val="8"/>
        <color theme="1"/>
        <rFont val="Calibri"/>
        <family val="2"/>
        <scheme val="minor"/>
      </rPr>
      <t>(sum of money)</t>
    </r>
  </si>
  <si>
    <r>
      <t xml:space="preserve">MINが最大を除いたデータの和が　最大値のMIN～MAXになるまで繰り返す
</t>
    </r>
    <r>
      <rPr>
        <sz val="8"/>
        <color theme="1"/>
        <rFont val="Calibri"/>
        <family val="2"/>
        <scheme val="minor"/>
      </rPr>
      <t>(Repeat until the sum of the data excluding the maximum value of MIN is the maximum value of MIN to MAX.)</t>
    </r>
  </si>
  <si>
    <r>
      <t xml:space="preserve">最大50回までとする。（永久ループ回避）
</t>
    </r>
    <r>
      <rPr>
        <sz val="8"/>
        <color theme="1"/>
        <rFont val="Calibri"/>
        <family val="2"/>
        <scheme val="minor"/>
      </rPr>
      <t>(Maximum 50 times (to avoid infinite loop))</t>
    </r>
  </si>
  <si>
    <r>
      <t xml:space="preserve">50回目の値を画面にセット。
</t>
    </r>
    <r>
      <rPr>
        <sz val="8"/>
        <color theme="1"/>
        <rFont val="Calibri"/>
        <family val="2"/>
        <scheme val="minor"/>
      </rPr>
      <t>(Set the 50th value on the screen.)</t>
    </r>
  </si>
  <si>
    <r>
      <t xml:space="preserve">樹脂分
</t>
    </r>
    <r>
      <rPr>
        <sz val="8"/>
        <color theme="1"/>
        <rFont val="Calibri"/>
        <family val="2"/>
        <scheme val="minor"/>
      </rPr>
      <t>(Resin content)</t>
    </r>
  </si>
  <si>
    <r>
      <t xml:space="preserve">抗折力R
</t>
    </r>
    <r>
      <rPr>
        <sz val="8"/>
        <color theme="1"/>
        <rFont val="Calibri"/>
        <family val="2"/>
        <scheme val="minor"/>
      </rPr>
      <t>(Transverse rupture strength R)</t>
    </r>
  </si>
  <si>
    <r>
      <t xml:space="preserve">抗折力X
</t>
    </r>
    <r>
      <rPr>
        <sz val="8"/>
        <color theme="1"/>
        <rFont val="Calibri"/>
        <family val="2"/>
        <scheme val="minor"/>
      </rPr>
      <t>(Transverse rupture strength X)</t>
    </r>
  </si>
  <si>
    <r>
      <t xml:space="preserve">粘着点
</t>
    </r>
    <r>
      <rPr>
        <sz val="8"/>
        <color theme="1"/>
        <rFont val="Calibri"/>
        <family val="2"/>
        <scheme val="minor"/>
      </rPr>
      <t>(sticky point)</t>
    </r>
  </si>
  <si>
    <r>
      <t xml:space="preserve">MIN ～MAX間でランダム 
</t>
    </r>
    <r>
      <rPr>
        <sz val="8"/>
        <color theme="1"/>
        <rFont val="Calibri"/>
        <family val="2"/>
        <scheme val="minor"/>
      </rPr>
      <t>(Random between MIN and MAX)</t>
    </r>
  </si>
  <si>
    <r>
      <t xml:space="preserve">登録者（3名まで）
</t>
    </r>
    <r>
      <rPr>
        <sz val="8"/>
        <color theme="1"/>
        <rFont val="Calibri"/>
        <family val="2"/>
        <scheme val="minor"/>
      </rPr>
      <t>(Registrants (up to 3 people))</t>
    </r>
  </si>
  <si>
    <r>
      <t xml:space="preserve">コメント（10件まで）
</t>
    </r>
    <r>
      <rPr>
        <sz val="8"/>
        <color theme="1"/>
        <rFont val="Calibri"/>
        <family val="2"/>
        <scheme val="minor"/>
      </rPr>
      <t>(Comments (up to 10))</t>
    </r>
  </si>
  <si>
    <r>
      <t xml:space="preserve">登録
</t>
    </r>
    <r>
      <rPr>
        <sz val="8"/>
        <color theme="1"/>
        <rFont val="Calibri"/>
        <family val="2"/>
        <scheme val="minor"/>
      </rPr>
      <t>(Registration)</t>
    </r>
  </si>
  <si>
    <t>顧客名
Customer name</t>
  </si>
  <si>
    <t>樹脂分(Resin content)</t>
  </si>
  <si>
    <t>抗折力X (Transverse rupture strength X)</t>
  </si>
  <si>
    <t>抗折力R (Transverse rupture strength R)</t>
  </si>
  <si>
    <t>粘着点(sticky point)</t>
  </si>
  <si>
    <t>顧客
customer</t>
  </si>
  <si>
    <t>登録日
Registration date</t>
  </si>
  <si>
    <t>有無
presence or absence</t>
  </si>
  <si>
    <r>
      <t xml:space="preserve">抗折力X
</t>
    </r>
    <r>
      <rPr>
        <sz val="8"/>
        <color theme="1"/>
        <rFont val="Calibri"/>
        <family val="2"/>
        <scheme val="minor"/>
      </rPr>
      <t xml:space="preserve"> (Transverse rupture strength X)</t>
    </r>
  </si>
  <si>
    <r>
      <t xml:space="preserve">抗折力R
</t>
    </r>
    <r>
      <rPr>
        <sz val="8"/>
        <color theme="1"/>
        <rFont val="Calibri"/>
        <family val="2"/>
        <scheme val="minor"/>
      </rPr>
      <t xml:space="preserve"> (Transverse rupture strength R)</t>
    </r>
  </si>
  <si>
    <r>
      <t xml:space="preserve">自動
</t>
    </r>
    <r>
      <rPr>
        <sz val="8"/>
        <color theme="1"/>
        <rFont val="Calibri"/>
        <family val="2"/>
        <scheme val="minor"/>
      </rPr>
      <t>(automatic)</t>
    </r>
  </si>
  <si>
    <r>
      <t xml:space="preserve">クリア
</t>
    </r>
    <r>
      <rPr>
        <sz val="8"/>
        <color theme="1"/>
        <rFont val="Calibri"/>
        <family val="2"/>
        <scheme val="minor"/>
      </rPr>
      <t>(clear)</t>
    </r>
  </si>
  <si>
    <t>受注伝票No
Order slip No</t>
  </si>
  <si>
    <t>受注日
Order date</t>
  </si>
  <si>
    <t>納期
Delivery date</t>
  </si>
  <si>
    <t xml:space="preserve">先方品番
Part number </t>
  </si>
  <si>
    <t>受注数
Order quantity</t>
  </si>
  <si>
    <t>荷姿
Packaging</t>
  </si>
  <si>
    <t>荷姿名
Packaging name</t>
  </si>
  <si>
    <t xml:space="preserve">ﾛｯﾄ番号
Lot number </t>
  </si>
  <si>
    <t>性能M
Performance M</t>
  </si>
  <si>
    <t>顧客向
For customers</t>
  </si>
  <si>
    <t>性能表
Performance table</t>
  </si>
  <si>
    <t>印済
Insured</t>
  </si>
  <si>
    <t>印刷日
printing date</t>
  </si>
  <si>
    <t>編集
edit</t>
  </si>
  <si>
    <t>印刷
printing</t>
  </si>
  <si>
    <t>樹脂分
Resin content</t>
  </si>
  <si>
    <t>抗折力X
Transverse rupture strength X</t>
  </si>
  <si>
    <t>抗折力R
Transverse rupture strength R</t>
  </si>
  <si>
    <t>粘着点
Sticky point</t>
  </si>
  <si>
    <t>ロット番号</t>
  </si>
  <si>
    <t>製造日</t>
  </si>
  <si>
    <t xml:space="preserve">ﾌﾚｺﾝ(500Kg) </t>
  </si>
  <si>
    <r>
      <t xml:space="preserve">納期
</t>
    </r>
    <r>
      <rPr>
        <sz val="9"/>
        <color theme="1"/>
        <rFont val="Calibri"/>
        <family val="2"/>
        <scheme val="minor"/>
      </rPr>
      <t>(delivery date)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</si>
</sst>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mesh&quot;\ @"/>
    <numFmt numFmtId="165" formatCode="yyyy/mm/dd"/>
    <numFmt numFmtId="166" formatCode="0_);[Red]\(0\)"/>
  </numFmts>
  <fonts count="28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3"/>
      <charset val="128"/>
      <scheme val="minor"/>
    </font>
    <font>
      <sz val="8"/>
      <color theme="1"/>
      <name val="Calibri"/>
      <family val="3"/>
      <charset val="128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8"/>
      <scheme val="minor"/>
    </font>
    <font>
      <sz val="10"/>
      <color theme="1"/>
      <name val="ＭＳ Ｐゴシック"/>
      <family val="3"/>
      <charset val="128"/>
    </font>
    <font>
      <b/>
      <sz val="11"/>
      <color theme="0"/>
      <name val="Calibri"/>
      <family val="3"/>
      <charset val="128"/>
      <scheme val="minor"/>
    </font>
    <font>
      <sz val="10"/>
      <color rgb="FF0080FF"/>
      <name val="ＭＳ ゴシック"/>
      <family val="3"/>
      <charset val="128"/>
    </font>
    <font>
      <sz val="10"/>
      <color theme="1"/>
      <name val="Microsoft JhengHei UI Light"/>
      <family val="2"/>
      <charset val="136"/>
    </font>
    <font>
      <sz val="10"/>
      <name val="游ゴシック Light"/>
      <family val="3"/>
      <charset val="128"/>
    </font>
    <font>
      <sz val="10"/>
      <color theme="1"/>
      <name val="游ゴシック Light"/>
      <family val="3"/>
      <charset val="128"/>
    </font>
    <font>
      <b/>
      <sz val="9"/>
      <color rgb="FF000000"/>
      <name val="Calibri"/>
      <family val="3"/>
      <charset val="128"/>
      <scheme val="minor"/>
    </font>
    <font>
      <sz val="10"/>
      <color rgb="FFFF0000"/>
      <name val="Calibri"/>
      <family val="3"/>
      <charset val="128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3"/>
      <charset val="128"/>
      <scheme val="minor"/>
    </font>
    <font>
      <b/>
      <sz val="11"/>
      <color rgb="FF000000"/>
      <name val="Calibri"/>
      <family val="3"/>
      <charset val="128"/>
      <scheme val="minor"/>
    </font>
    <font>
      <sz val="11"/>
      <color rgb="FF7F878F"/>
      <name val="Calibri"/>
      <family val="3"/>
      <charset val="128"/>
      <scheme val="minor"/>
    </font>
    <font>
      <sz val="9"/>
      <color rgb="FF0080FF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dashDotDot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3">
    <xf numFmtId="0" fontId="0" fillId="0" borderId="0" xfId="0"/>
    <xf numFmtId="0" fontId="0" fillId="0" borderId="0" xfId="0" applyAlignment="1">
      <alignment vertical="center"/>
    </xf>
    <xf numFmtId="49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1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left" vertical="center"/>
    </xf>
    <xf numFmtId="0" fontId="3" fillId="0" borderId="0" xfId="0" quotePrefix="1" applyFont="1" applyAlignment="1">
      <alignment horizontal="right"/>
    </xf>
    <xf numFmtId="1" fontId="3" fillId="5" borderId="1" xfId="0" applyNumberFormat="1" applyFont="1" applyFill="1" applyBorder="1" applyAlignment="1">
      <alignment horizontal="right" vertical="center"/>
    </xf>
    <xf numFmtId="0" fontId="3" fillId="0" borderId="1" xfId="0" applyFont="1" applyBorder="1"/>
    <xf numFmtId="0" fontId="3" fillId="3" borderId="1" xfId="0" applyFont="1" applyFill="1" applyBorder="1" applyAlignment="1">
      <alignment horizontal="right" vertical="center"/>
    </xf>
    <xf numFmtId="0" fontId="3" fillId="7" borderId="0" xfId="0" applyFont="1" applyFill="1" applyAlignment="1">
      <alignment horizontal="right"/>
    </xf>
    <xf numFmtId="0" fontId="3" fillId="7" borderId="0" xfId="0" applyFont="1" applyFill="1"/>
    <xf numFmtId="1" fontId="3" fillId="7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164" fontId="3" fillId="7" borderId="0" xfId="0" applyNumberFormat="1" applyFont="1" applyFill="1" applyAlignment="1">
      <alignment horizontal="left" vertical="center"/>
    </xf>
    <xf numFmtId="0" fontId="4" fillId="7" borderId="0" xfId="0" applyFont="1" applyFill="1" applyAlignment="1">
      <alignment horizontal="right"/>
    </xf>
    <xf numFmtId="0" fontId="5" fillId="7" borderId="0" xfId="0" applyFont="1" applyFill="1"/>
    <xf numFmtId="0" fontId="4" fillId="7" borderId="0" xfId="0" applyFont="1" applyFill="1"/>
    <xf numFmtId="0" fontId="4" fillId="0" borderId="0" xfId="0" applyFont="1"/>
    <xf numFmtId="0" fontId="4" fillId="8" borderId="0" xfId="0" applyFont="1" applyFill="1" applyAlignment="1">
      <alignment horizontal="right"/>
    </xf>
    <xf numFmtId="0" fontId="4" fillId="8" borderId="0" xfId="0" applyFont="1" applyFill="1"/>
    <xf numFmtId="0" fontId="5" fillId="8" borderId="0" xfId="0" applyFont="1" applyFill="1"/>
    <xf numFmtId="0" fontId="3" fillId="8" borderId="0" xfId="0" applyFont="1" applyFill="1"/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0" xfId="0" quotePrefix="1" applyFont="1"/>
    <xf numFmtId="0" fontId="3" fillId="10" borderId="9" xfId="0" applyFont="1" applyFill="1" applyBorder="1"/>
    <xf numFmtId="0" fontId="3" fillId="10" borderId="0" xfId="0" applyFont="1" applyFill="1"/>
    <xf numFmtId="0" fontId="3" fillId="10" borderId="10" xfId="0" applyFont="1" applyFill="1" applyBorder="1"/>
    <xf numFmtId="0" fontId="3" fillId="10" borderId="6" xfId="0" applyFont="1" applyFill="1" applyBorder="1"/>
    <xf numFmtId="0" fontId="3" fillId="10" borderId="7" xfId="0" applyFont="1" applyFill="1" applyBorder="1"/>
    <xf numFmtId="0" fontId="3" fillId="10" borderId="8" xfId="0" applyFont="1" applyFill="1" applyBorder="1"/>
    <xf numFmtId="0" fontId="3" fillId="9" borderId="0" xfId="0" applyFont="1" applyFill="1"/>
    <xf numFmtId="0" fontId="4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8" borderId="0" xfId="0" applyFont="1" applyFill="1" applyAlignment="1">
      <alignment horizontal="right"/>
    </xf>
    <xf numFmtId="0" fontId="5" fillId="7" borderId="0" xfId="0" applyFont="1" applyFill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5" fillId="7" borderId="0" xfId="0" applyFont="1" applyFill="1" applyAlignment="1">
      <alignment horizontal="left"/>
    </xf>
    <xf numFmtId="164" fontId="5" fillId="7" borderId="0" xfId="0" applyNumberFormat="1" applyFont="1" applyFill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3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center"/>
    </xf>
    <xf numFmtId="0" fontId="0" fillId="0" borderId="14" xfId="0" applyBorder="1"/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right"/>
    </xf>
    <xf numFmtId="0" fontId="13" fillId="0" borderId="0" xfId="0" applyFont="1" applyAlignment="1">
      <alignment vertical="center"/>
    </xf>
    <xf numFmtId="0" fontId="0" fillId="0" borderId="0" xfId="0" quotePrefix="1"/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7" fillId="0" borderId="0" xfId="0" applyFont="1"/>
    <xf numFmtId="49" fontId="7" fillId="0" borderId="1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19" fillId="0" borderId="0" xfId="0" applyFont="1"/>
    <xf numFmtId="0" fontId="0" fillId="11" borderId="0" xfId="0" applyFill="1" applyAlignment="1">
      <alignment horizontal="center" vertical="center"/>
    </xf>
    <xf numFmtId="166" fontId="7" fillId="0" borderId="1" xfId="0" applyNumberFormat="1" applyFont="1" applyBorder="1" applyAlignment="1">
      <alignment horizontal="right" vertical="center"/>
    </xf>
    <xf numFmtId="166" fontId="7" fillId="0" borderId="0" xfId="0" applyNumberFormat="1" applyFont="1"/>
    <xf numFmtId="49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2" fillId="0" borderId="1" xfId="0" applyFont="1" applyBorder="1" applyAlignment="1">
      <alignment vertical="center"/>
    </xf>
    <xf numFmtId="1" fontId="0" fillId="9" borderId="1" xfId="0" applyNumberFormat="1" applyFill="1" applyBorder="1" applyAlignment="1">
      <alignment horizontal="right" vertical="center"/>
    </xf>
    <xf numFmtId="0" fontId="0" fillId="9" borderId="0" xfId="0" applyFill="1"/>
    <xf numFmtId="0" fontId="5" fillId="0" borderId="0" xfId="0" applyFont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0" xfId="0" applyFont="1"/>
    <xf numFmtId="0" fontId="6" fillId="0" borderId="9" xfId="0" applyFont="1" applyBorder="1"/>
    <xf numFmtId="0" fontId="6" fillId="0" borderId="10" xfId="0" applyFont="1" applyBorder="1"/>
    <xf numFmtId="0" fontId="6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13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49" fontId="17" fillId="4" borderId="1" xfId="0" applyNumberFormat="1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49" fontId="17" fillId="4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49" fontId="17" fillId="5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9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49" fontId="21" fillId="4" borderId="1" xfId="0" applyNumberFormat="1" applyFont="1" applyFill="1" applyBorder="1" applyAlignment="1">
      <alignment horizontal="center" vertical="center" wrapText="1"/>
    </xf>
    <xf numFmtId="49" fontId="21" fillId="9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>
      <alignment wrapText="1"/>
    </xf>
    <xf numFmtId="0" fontId="7" fillId="12" borderId="3" xfId="0" applyFont="1" applyFill="1" applyBorder="1" applyAlignment="1">
      <alignment horizontal="center" wrapText="1"/>
    </xf>
    <xf numFmtId="0" fontId="7" fillId="12" borderId="4" xfId="0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0" fontId="10" fillId="12" borderId="17" xfId="0" applyFont="1" applyFill="1" applyBorder="1" applyAlignment="1">
      <alignment horizontal="center" wrapText="1"/>
    </xf>
    <xf numFmtId="0" fontId="10" fillId="12" borderId="18" xfId="0" applyFont="1" applyFill="1" applyBorder="1" applyAlignment="1">
      <alignment horizontal="center"/>
    </xf>
    <xf numFmtId="0" fontId="10" fillId="12" borderId="19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horizontal="center" vertical="top" wrapText="1"/>
    </xf>
    <xf numFmtId="0" fontId="6" fillId="7" borderId="3" xfId="0" applyFont="1" applyFill="1" applyBorder="1" applyAlignment="1">
      <alignment horizontal="center" vertical="top" wrapText="1"/>
    </xf>
    <xf numFmtId="0" fontId="7" fillId="7" borderId="4" xfId="0" applyFont="1" applyFill="1" applyBorder="1" applyAlignment="1">
      <alignment horizontal="center" vertical="top" wrapText="1"/>
    </xf>
    <xf numFmtId="0" fontId="7" fillId="7" borderId="5" xfId="0" applyFont="1" applyFill="1" applyBorder="1" applyAlignment="1">
      <alignment horizontal="center" vertical="top" wrapText="1"/>
    </xf>
    <xf numFmtId="0" fontId="7" fillId="7" borderId="3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10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20" fillId="11" borderId="17" xfId="0" applyFont="1" applyFill="1" applyBorder="1" applyAlignment="1">
      <alignment horizontal="center"/>
    </xf>
    <xf numFmtId="0" fontId="20" fillId="11" borderId="18" xfId="0" applyFont="1" applyFill="1" applyBorder="1" applyAlignment="1">
      <alignment horizontal="center"/>
    </xf>
    <xf numFmtId="0" fontId="20" fillId="11" borderId="19" xfId="0" applyFont="1" applyFill="1" applyBorder="1" applyAlignment="1">
      <alignment horizontal="center"/>
    </xf>
    <xf numFmtId="0" fontId="10" fillId="11" borderId="17" xfId="0" applyFont="1" applyFill="1" applyBorder="1" applyAlignment="1">
      <alignment horizontal="center"/>
    </xf>
    <xf numFmtId="0" fontId="10" fillId="11" borderId="18" xfId="0" applyFont="1" applyFill="1" applyBorder="1" applyAlignment="1">
      <alignment horizontal="center"/>
    </xf>
    <xf numFmtId="0" fontId="10" fillId="11" borderId="19" xfId="0" applyFont="1" applyFill="1" applyBorder="1" applyAlignment="1">
      <alignment horizontal="center"/>
    </xf>
    <xf numFmtId="14" fontId="10" fillId="11" borderId="17" xfId="0" applyNumberFormat="1" applyFont="1" applyFill="1" applyBorder="1" applyAlignment="1">
      <alignment horizontal="center"/>
    </xf>
    <xf numFmtId="14" fontId="10" fillId="11" borderId="18" xfId="0" applyNumberFormat="1" applyFont="1" applyFill="1" applyBorder="1" applyAlignment="1">
      <alignment horizontal="center"/>
    </xf>
    <xf numFmtId="14" fontId="10" fillId="11" borderId="19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9" borderId="3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6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12" fillId="13" borderId="3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1" borderId="9" xfId="0" applyFill="1" applyBorder="1" applyAlignment="1">
      <alignment horizontal="center" wrapText="1"/>
    </xf>
    <xf numFmtId="0" fontId="0" fillId="11" borderId="0" xfId="0" applyFill="1" applyAlignment="1">
      <alignment horizontal="center"/>
    </xf>
    <xf numFmtId="0" fontId="0" fillId="11" borderId="9" xfId="0" applyFill="1" applyBorder="1" applyAlignment="1">
      <alignment horizontal="center"/>
    </xf>
    <xf numFmtId="0" fontId="10" fillId="12" borderId="3" xfId="0" applyFont="1" applyFill="1" applyBorder="1" applyAlignment="1">
      <alignment horizontal="center"/>
    </xf>
    <xf numFmtId="0" fontId="10" fillId="12" borderId="4" xfId="0" applyFont="1" applyFill="1" applyBorder="1" applyAlignment="1">
      <alignment horizontal="center"/>
    </xf>
    <xf numFmtId="0" fontId="10" fillId="12" borderId="5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10" fillId="12" borderId="7" xfId="0" applyFont="1" applyFill="1" applyBorder="1" applyAlignment="1">
      <alignment horizontal="center"/>
    </xf>
    <xf numFmtId="0" fontId="10" fillId="12" borderId="8" xfId="0" applyFont="1" applyFill="1" applyBorder="1" applyAlignment="1">
      <alignment horizontal="center"/>
    </xf>
    <xf numFmtId="0" fontId="0" fillId="0" borderId="10" xfId="0" applyBorder="1" applyAlignment="1">
      <alignment horizontal="right" vertical="center"/>
    </xf>
    <xf numFmtId="0" fontId="9" fillId="12" borderId="3" xfId="0" applyFont="1" applyFill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12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 wrapText="1"/>
    </xf>
    <xf numFmtId="0" fontId="3" fillId="10" borderId="4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16559</xdr:colOff>
      <xdr:row>1</xdr:row>
      <xdr:rowOff>35903</xdr:rowOff>
    </xdr:from>
    <xdr:to>
      <xdr:col>3</xdr:col>
      <xdr:colOff>433519</xdr:colOff>
      <xdr:row>3</xdr:row>
      <xdr:rowOff>94537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FCBBC8C7-E40D-CE48-F8C7-1207EDA7E693}"/>
            </a:ext>
          </a:extLst>
        </xdr:cNvPr>
        <xdr:cNvSpPr/>
      </xdr:nvSpPr>
      <xdr:spPr>
        <a:xfrm>
          <a:off x="626159" y="226403"/>
          <a:ext cx="1636160" cy="43963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メニュー</a:t>
          </a:r>
          <a:r>
            <a:rPr kumimoji="1" lang="en-US" altLang="ja-JP" sz="1100">
              <a:solidFill>
                <a:sysClr val="windowText" lastClr="000000"/>
              </a:solidFill>
            </a:rPr>
            <a:t>(Menu)</a:t>
          </a:r>
        </a:p>
      </xdr:txBody>
    </xdr:sp>
    <xdr:clientData/>
  </xdr:twoCellAnchor>
  <xdr:twoCellAnchor>
    <xdr:from>
      <xdr:col>5</xdr:col>
      <xdr:colOff>259255</xdr:colOff>
      <xdr:row>2</xdr:row>
      <xdr:rowOff>197158</xdr:rowOff>
    </xdr:from>
    <xdr:to>
      <xdr:col>8</xdr:col>
      <xdr:colOff>48444</xdr:colOff>
      <xdr:row>5</xdr:row>
      <xdr:rowOff>52104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9221D63F-F6EE-F3B6-5099-795A04641683}"/>
            </a:ext>
          </a:extLst>
        </xdr:cNvPr>
        <xdr:cNvSpPr/>
      </xdr:nvSpPr>
      <xdr:spPr>
        <a:xfrm>
          <a:off x="3702909" y="680735"/>
          <a:ext cx="1855381" cy="58031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検索 </a:t>
          </a:r>
          <a:r>
            <a:rPr kumimoji="1" lang="en-US" altLang="ja-JP" sz="1100">
              <a:solidFill>
                <a:sysClr val="windowText" lastClr="000000"/>
              </a:solidFill>
            </a:rPr>
            <a:t>(Search)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1651</xdr:colOff>
      <xdr:row>12</xdr:row>
      <xdr:rowOff>113962</xdr:rowOff>
    </xdr:from>
    <xdr:to>
      <xdr:col>9</xdr:col>
      <xdr:colOff>142875</xdr:colOff>
      <xdr:row>14</xdr:row>
      <xdr:rowOff>187982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1C41E9C-2FEB-626C-E191-061F557C21FB}"/>
            </a:ext>
          </a:extLst>
        </xdr:cNvPr>
        <xdr:cNvSpPr/>
      </xdr:nvSpPr>
      <xdr:spPr>
        <a:xfrm>
          <a:off x="3659251" y="2399962"/>
          <a:ext cx="1970024" cy="45502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登録者 </a:t>
          </a:r>
          <a:r>
            <a:rPr kumimoji="1" lang="en-US" altLang="ja-JP" sz="1100">
              <a:solidFill>
                <a:sysClr val="windowText" lastClr="000000"/>
              </a:solidFill>
            </a:rPr>
            <a:t>(Create By)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1302</xdr:colOff>
      <xdr:row>9</xdr:row>
      <xdr:rowOff>169354</xdr:rowOff>
    </xdr:from>
    <xdr:to>
      <xdr:col>9</xdr:col>
      <xdr:colOff>495300</xdr:colOff>
      <xdr:row>12</xdr:row>
      <xdr:rowOff>24299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CFBC3EC-700F-415A-B8D6-A06BD0A68FA9}"/>
            </a:ext>
          </a:extLst>
        </xdr:cNvPr>
        <xdr:cNvSpPr/>
      </xdr:nvSpPr>
      <xdr:spPr>
        <a:xfrm>
          <a:off x="3658902" y="1883854"/>
          <a:ext cx="2322798" cy="42644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測定マスタ 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lang="en-US">
              <a:solidFill>
                <a:sysClr val="windowText" lastClr="000000"/>
              </a:solidFill>
            </a:rPr>
            <a:t>Measurement Master)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196344</xdr:colOff>
      <xdr:row>12</xdr:row>
      <xdr:rowOff>107829</xdr:rowOff>
    </xdr:from>
    <xdr:to>
      <xdr:col>12</xdr:col>
      <xdr:colOff>533400</xdr:colOff>
      <xdr:row>15</xdr:row>
      <xdr:rowOff>4539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9EDCCC3-6F96-40CE-A1A0-49473E623CDB}"/>
            </a:ext>
          </a:extLst>
        </xdr:cNvPr>
        <xdr:cNvSpPr/>
      </xdr:nvSpPr>
      <xdr:spPr>
        <a:xfrm>
          <a:off x="5682744" y="2393829"/>
          <a:ext cx="2165856" cy="4682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コメント </a:t>
          </a:r>
          <a:r>
            <a:rPr kumimoji="1" lang="en-US" altLang="ja-JP" sz="1000">
              <a:solidFill>
                <a:sysClr val="windowText" lastClr="000000"/>
              </a:solidFill>
            </a:rPr>
            <a:t>(Comment)</a:t>
          </a:r>
        </a:p>
        <a:p>
          <a:pPr algn="l"/>
          <a:r>
            <a:rPr lang="ja-JP" altLang="en-US" sz="1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>
              <a:solidFill>
                <a:sysClr val="windowText" lastClr="000000"/>
              </a:solidFill>
              <a:effectLst/>
            </a:rPr>
            <a:t> </a:t>
          </a:r>
          <a:r>
            <a:rPr lang="en-US" altLang="ja-JP" sz="1000">
              <a:solidFill>
                <a:sysClr val="windowText" lastClr="000000"/>
              </a:solidFill>
              <a:effectLst/>
            </a:rPr>
            <a:t>※</a:t>
          </a:r>
          <a:r>
            <a:rPr lang="ja-JP" altLang="en-US" sz="1000">
              <a:solidFill>
                <a:sysClr val="windowText" lastClr="000000"/>
              </a:solidFill>
              <a:effectLst/>
            </a:rPr>
            <a:t>予定</a:t>
          </a:r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433519</xdr:colOff>
      <xdr:row>2</xdr:row>
      <xdr:rowOff>65220</xdr:rowOff>
    </xdr:from>
    <xdr:to>
      <xdr:col>5</xdr:col>
      <xdr:colOff>259255</xdr:colOff>
      <xdr:row>4</xdr:row>
      <xdr:rowOff>24619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93557DF0-EC2C-4307-9C65-5208F5FF4D50}"/>
            </a:ext>
          </a:extLst>
        </xdr:cNvPr>
        <xdr:cNvCxnSpPr>
          <a:stCxn id="11" idx="3"/>
          <a:endCxn id="15" idx="1"/>
        </xdr:cNvCxnSpPr>
      </xdr:nvCxnSpPr>
      <xdr:spPr>
        <a:xfrm>
          <a:off x="2262319" y="446220"/>
          <a:ext cx="1044936" cy="34039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48444</xdr:colOff>
      <xdr:row>4</xdr:row>
      <xdr:rowOff>23153</xdr:rowOff>
    </xdr:from>
    <xdr:to>
      <xdr:col>8</xdr:col>
      <xdr:colOff>587502</xdr:colOff>
      <xdr:row>4</xdr:row>
      <xdr:rowOff>24619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93BC47EA-5FD4-4626-A316-2CBBE3CD9159}"/>
            </a:ext>
          </a:extLst>
        </xdr:cNvPr>
        <xdr:cNvCxnSpPr>
          <a:cxnSpLocks/>
          <a:stCxn id="24" idx="1"/>
          <a:endCxn id="15" idx="3"/>
        </xdr:cNvCxnSpPr>
      </xdr:nvCxnSpPr>
      <xdr:spPr>
        <a:xfrm rot="10800000" flipV="1">
          <a:off x="4925244" y="785153"/>
          <a:ext cx="539058" cy="1466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259256</xdr:colOff>
      <xdr:row>8</xdr:row>
      <xdr:rowOff>83765</xdr:rowOff>
    </xdr:from>
    <xdr:to>
      <xdr:col>13</xdr:col>
      <xdr:colOff>276225</xdr:colOff>
      <xdr:row>15</xdr:row>
      <xdr:rowOff>102578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6714F6E7-A36B-A649-1823-E8CED4A8B78B}"/>
            </a:ext>
          </a:extLst>
        </xdr:cNvPr>
        <xdr:cNvSpPr/>
      </xdr:nvSpPr>
      <xdr:spPr>
        <a:xfrm>
          <a:off x="3307256" y="1607765"/>
          <a:ext cx="4893769" cy="135231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マスター </a:t>
          </a:r>
          <a:r>
            <a:rPr kumimoji="1" lang="en-US" altLang="ja-JP" sz="1100">
              <a:solidFill>
                <a:sysClr val="windowText" lastClr="000000"/>
              </a:solidFill>
            </a:rPr>
            <a:t>(Master)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433519</xdr:colOff>
      <xdr:row>2</xdr:row>
      <xdr:rowOff>65220</xdr:rowOff>
    </xdr:from>
    <xdr:to>
      <xdr:col>5</xdr:col>
      <xdr:colOff>259256</xdr:colOff>
      <xdr:row>11</xdr:row>
      <xdr:rowOff>188422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D9CCD09E-26E0-512D-7CF2-6D5BBAADA430}"/>
            </a:ext>
          </a:extLst>
        </xdr:cNvPr>
        <xdr:cNvCxnSpPr>
          <a:stCxn id="11" idx="3"/>
          <a:endCxn id="36" idx="1"/>
        </xdr:cNvCxnSpPr>
      </xdr:nvCxnSpPr>
      <xdr:spPr>
        <a:xfrm>
          <a:off x="2262319" y="446220"/>
          <a:ext cx="1044937" cy="1837702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587502</xdr:colOff>
      <xdr:row>2</xdr:row>
      <xdr:rowOff>186167</xdr:rowOff>
    </xdr:from>
    <xdr:to>
      <xdr:col>12</xdr:col>
      <xdr:colOff>142875</xdr:colOff>
      <xdr:row>5</xdr:row>
      <xdr:rowOff>50638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0D17BCD-95E6-4C78-A765-BF87ED8B90CD}"/>
            </a:ext>
          </a:extLst>
        </xdr:cNvPr>
        <xdr:cNvSpPr/>
      </xdr:nvSpPr>
      <xdr:spPr>
        <a:xfrm>
          <a:off x="5464302" y="567167"/>
          <a:ext cx="1993773" cy="43597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登録／編集 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lang="en-US">
              <a:solidFill>
                <a:sysClr val="windowText" lastClr="000000"/>
              </a:solidFill>
            </a:rPr>
            <a:t>Register / Edit)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115957</xdr:colOff>
      <xdr:row>51</xdr:row>
      <xdr:rowOff>49695</xdr:rowOff>
    </xdr:from>
    <xdr:to>
      <xdr:col>11</xdr:col>
      <xdr:colOff>174763</xdr:colOff>
      <xdr:row>55</xdr:row>
      <xdr:rowOff>124238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6C6EBD3-C743-49AB-9780-34E3BC0294F7}"/>
            </a:ext>
          </a:extLst>
        </xdr:cNvPr>
        <xdr:cNvSpPr/>
      </xdr:nvSpPr>
      <xdr:spPr>
        <a:xfrm>
          <a:off x="513522" y="7131325"/>
          <a:ext cx="1847850" cy="5715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検索画面</a:t>
          </a:r>
        </a:p>
      </xdr:txBody>
    </xdr:sp>
    <xdr:clientData/>
  </xdr:twoCellAnchor>
  <xdr:twoCellAnchor>
    <xdr:from>
      <xdr:col>16</xdr:col>
      <xdr:colOff>16563</xdr:colOff>
      <xdr:row>51</xdr:row>
      <xdr:rowOff>49694</xdr:rowOff>
    </xdr:from>
    <xdr:to>
      <xdr:col>25</xdr:col>
      <xdr:colOff>75370</xdr:colOff>
      <xdr:row>55</xdr:row>
      <xdr:rowOff>124237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33B3665-28BD-D405-E5E9-9006BC291DDC}"/>
            </a:ext>
          </a:extLst>
        </xdr:cNvPr>
        <xdr:cNvSpPr/>
      </xdr:nvSpPr>
      <xdr:spPr>
        <a:xfrm>
          <a:off x="3197085" y="7131324"/>
          <a:ext cx="1847850" cy="5715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登録画面</a:t>
          </a:r>
        </a:p>
      </xdr:txBody>
    </xdr:sp>
    <xdr:clientData/>
  </xdr:twoCellAnchor>
  <xdr:twoCellAnchor>
    <xdr:from>
      <xdr:col>11</xdr:col>
      <xdr:colOff>174763</xdr:colOff>
      <xdr:row>53</xdr:row>
      <xdr:rowOff>86965</xdr:rowOff>
    </xdr:from>
    <xdr:to>
      <xdr:col>16</xdr:col>
      <xdr:colOff>16563</xdr:colOff>
      <xdr:row>53</xdr:row>
      <xdr:rowOff>86966</xdr:rowOff>
    </xdr:to>
    <xdr:cxnSp macro="">
      <xdr:nvCxnSpPr>
        <xdr:cNvPr id="7" name="コネクタ: カギ線 6">
          <a:extLst>
            <a:ext uri="{FF2B5EF4-FFF2-40B4-BE49-F238E27FC236}">
              <a16:creationId xmlns:a16="http://schemas.microsoft.com/office/drawing/2014/main" id="{D8B2A981-DE34-45E3-911B-BA91BE30DEB4}"/>
            </a:ext>
          </a:extLst>
        </xdr:cNvPr>
        <xdr:cNvCxnSpPr>
          <a:stCxn id="5" idx="3"/>
          <a:endCxn id="6" idx="1"/>
        </xdr:cNvCxnSpPr>
      </xdr:nvCxnSpPr>
      <xdr:spPr>
        <a:xfrm flipV="1">
          <a:off x="2361372" y="7417074"/>
          <a:ext cx="835713" cy="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140804</xdr:colOff>
      <xdr:row>53</xdr:row>
      <xdr:rowOff>66261</xdr:rowOff>
    </xdr:from>
    <xdr:ext cx="884345" cy="317587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B83D2E2B-4A63-4B79-A827-2D3012D62160}"/>
            </a:ext>
          </a:extLst>
        </xdr:cNvPr>
        <xdr:cNvSpPr txBox="1"/>
      </xdr:nvSpPr>
      <xdr:spPr>
        <a:xfrm>
          <a:off x="2327413" y="6899413"/>
          <a:ext cx="884345" cy="3175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 b="1">
              <a:solidFill>
                <a:srgbClr val="FF0000"/>
              </a:solidFill>
            </a:rPr>
            <a:t>受注伝票</a:t>
          </a:r>
          <a:r>
            <a:rPr kumimoji="1" lang="en-US" altLang="ja-JP" sz="1050" b="1">
              <a:solidFill>
                <a:srgbClr val="FF0000"/>
              </a:solidFill>
            </a:rPr>
            <a:t>No</a:t>
          </a:r>
          <a:endParaRPr kumimoji="1" lang="ja-JP" altLang="en-US" sz="105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142039</xdr:colOff>
      <xdr:row>19</xdr:row>
      <xdr:rowOff>49702</xdr:rowOff>
    </xdr:from>
    <xdr:to>
      <xdr:col>0</xdr:col>
      <xdr:colOff>148258</xdr:colOff>
      <xdr:row>29</xdr:row>
      <xdr:rowOff>24853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65DABC8C-B31F-8985-E44D-6B2B1110BC15}"/>
            </a:ext>
          </a:extLst>
        </xdr:cNvPr>
        <xdr:cNvGrpSpPr/>
      </xdr:nvGrpSpPr>
      <xdr:grpSpPr>
        <a:xfrm rot="5400000">
          <a:off x="-772515" y="4314815"/>
          <a:ext cx="1835327" cy="6219"/>
          <a:chOff x="5629275" y="1190618"/>
          <a:chExt cx="4229100" cy="323864"/>
        </a:xfrm>
      </xdr:grpSpPr>
      <xdr:sp macro="" textlink="">
        <xdr:nvSpPr>
          <xdr:cNvPr id="10" name="フリーフォーム: 図形 9">
            <a:extLst>
              <a:ext uri="{FF2B5EF4-FFF2-40B4-BE49-F238E27FC236}">
                <a16:creationId xmlns:a16="http://schemas.microsoft.com/office/drawing/2014/main" id="{1C65640A-CE01-15A9-FA7A-BF60183D0611}"/>
              </a:ext>
            </a:extLst>
          </xdr:cNvPr>
          <xdr:cNvSpPr/>
        </xdr:nvSpPr>
        <xdr:spPr>
          <a:xfrm>
            <a:off x="5629275" y="1190618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3F7DB00C-0D5B-1D3A-FA7D-28CA1BDD2F7B}"/>
              </a:ext>
            </a:extLst>
          </xdr:cNvPr>
          <xdr:cNvSpPr/>
        </xdr:nvSpPr>
        <xdr:spPr>
          <a:xfrm>
            <a:off x="5629275" y="1257293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32</xdr:col>
      <xdr:colOff>31053</xdr:colOff>
      <xdr:row>10</xdr:row>
      <xdr:rowOff>82834</xdr:rowOff>
    </xdr:from>
    <xdr:to>
      <xdr:col>32</xdr:col>
      <xdr:colOff>132522</xdr:colOff>
      <xdr:row>20</xdr:row>
      <xdr:rowOff>57984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7BA38F5C-EBDD-1DB8-509D-0DF866BE12C8}"/>
            </a:ext>
          </a:extLst>
        </xdr:cNvPr>
        <xdr:cNvGrpSpPr/>
      </xdr:nvGrpSpPr>
      <xdr:grpSpPr>
        <a:xfrm rot="5400000">
          <a:off x="8296919" y="2608233"/>
          <a:ext cx="1745680" cy="101469"/>
          <a:chOff x="5629275" y="1190618"/>
          <a:chExt cx="4229100" cy="323864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BBC5C5DF-ABC3-E286-811A-71E51C150164}"/>
              </a:ext>
            </a:extLst>
          </xdr:cNvPr>
          <xdr:cNvSpPr/>
        </xdr:nvSpPr>
        <xdr:spPr>
          <a:xfrm>
            <a:off x="5629275" y="1190618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288795A3-CEED-55FF-349E-C7AE67789E2B}"/>
              </a:ext>
            </a:extLst>
          </xdr:cNvPr>
          <xdr:cNvSpPr/>
        </xdr:nvSpPr>
        <xdr:spPr>
          <a:xfrm>
            <a:off x="5629275" y="1257293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175260</xdr:colOff>
      <xdr:row>20</xdr:row>
      <xdr:rowOff>25988</xdr:rowOff>
    </xdr:from>
    <xdr:to>
      <xdr:col>48</xdr:col>
      <xdr:colOff>81915</xdr:colOff>
      <xdr:row>30</xdr:row>
      <xdr:rowOff>91676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E6E4A35-11A6-7856-27BB-B52B55509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4597988"/>
          <a:ext cx="10256520" cy="23516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16566</xdr:colOff>
      <xdr:row>27</xdr:row>
      <xdr:rowOff>57978</xdr:rowOff>
    </xdr:from>
    <xdr:to>
      <xdr:col>29</xdr:col>
      <xdr:colOff>47208</xdr:colOff>
      <xdr:row>44</xdr:row>
      <xdr:rowOff>99391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688AA06-5A7E-AB92-E87B-CA0AB3B9C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0740" y="2915478"/>
          <a:ext cx="3683272" cy="215347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6626</xdr:colOff>
          <xdr:row>59</xdr:row>
          <xdr:rowOff>112645</xdr:rowOff>
        </xdr:from>
        <xdr:to>
          <xdr:col>24</xdr:col>
          <xdr:colOff>139147</xdr:colOff>
          <xdr:row>70</xdr:row>
          <xdr:rowOff>111730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C0B576E5-7858-3205-6E9C-61EEA761CB8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マスタ編集(Master Maintenance) ①'!$AL$9:$BF$23" spid="_x0000_s312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193235" y="7149549"/>
              <a:ext cx="3213651" cy="138062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13</xdr:col>
      <xdr:colOff>13252</xdr:colOff>
      <xdr:row>61</xdr:row>
      <xdr:rowOff>92766</xdr:rowOff>
    </xdr:from>
    <xdr:to>
      <xdr:col>16</xdr:col>
      <xdr:colOff>39756</xdr:colOff>
      <xdr:row>69</xdr:row>
      <xdr:rowOff>92765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AC33668-3FC1-B81C-60B5-E3B4F248275D}"/>
            </a:ext>
          </a:extLst>
        </xdr:cNvPr>
        <xdr:cNvSpPr/>
      </xdr:nvSpPr>
      <xdr:spPr>
        <a:xfrm>
          <a:off x="2597426" y="7368209"/>
          <a:ext cx="622852" cy="9541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13252</xdr:colOff>
      <xdr:row>61</xdr:row>
      <xdr:rowOff>86139</xdr:rowOff>
    </xdr:from>
    <xdr:to>
      <xdr:col>21</xdr:col>
      <xdr:colOff>39756</xdr:colOff>
      <xdr:row>71</xdr:row>
      <xdr:rowOff>72886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5FB09DB-E7F1-4EEB-9301-7C571F7AE15F}"/>
            </a:ext>
          </a:extLst>
        </xdr:cNvPr>
        <xdr:cNvSpPr/>
      </xdr:nvSpPr>
      <xdr:spPr>
        <a:xfrm>
          <a:off x="3591339" y="7361582"/>
          <a:ext cx="622852" cy="117944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106018</xdr:colOff>
      <xdr:row>61</xdr:row>
      <xdr:rowOff>79514</xdr:rowOff>
    </xdr:from>
    <xdr:to>
      <xdr:col>26</xdr:col>
      <xdr:colOff>132522</xdr:colOff>
      <xdr:row>70</xdr:row>
      <xdr:rowOff>39757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3C12C19-0641-4711-B8BF-FE9E9DCF6AAB}"/>
            </a:ext>
          </a:extLst>
        </xdr:cNvPr>
        <xdr:cNvSpPr/>
      </xdr:nvSpPr>
      <xdr:spPr>
        <a:xfrm>
          <a:off x="4678018" y="7354957"/>
          <a:ext cx="622852" cy="10336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91106</xdr:colOff>
      <xdr:row>21</xdr:row>
      <xdr:rowOff>92766</xdr:rowOff>
    </xdr:from>
    <xdr:to>
      <xdr:col>32</xdr:col>
      <xdr:colOff>131259</xdr:colOff>
      <xdr:row>37</xdr:row>
      <xdr:rowOff>92766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ABA36AD-8ADB-4F48-B597-DC892408A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4063" y="2597427"/>
          <a:ext cx="3618239" cy="2027582"/>
        </a:xfrm>
        <a:prstGeom prst="rect">
          <a:avLst/>
        </a:prstGeom>
      </xdr:spPr>
    </xdr:pic>
    <xdr:clientData/>
  </xdr:twoCellAnchor>
  <xdr:oneCellAnchor>
    <xdr:from>
      <xdr:col>1</xdr:col>
      <xdr:colOff>170623</xdr:colOff>
      <xdr:row>45</xdr:row>
      <xdr:rowOff>23195</xdr:rowOff>
    </xdr:from>
    <xdr:ext cx="2454964" cy="829914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53BA4AC-FBF6-473D-A182-1065E6086DAE}"/>
            </a:ext>
          </a:extLst>
        </xdr:cNvPr>
        <xdr:cNvSpPr txBox="1"/>
      </xdr:nvSpPr>
      <xdr:spPr>
        <a:xfrm>
          <a:off x="344558" y="5613956"/>
          <a:ext cx="2454964" cy="82991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050" b="1">
              <a:solidFill>
                <a:srgbClr val="FF0000"/>
              </a:solidFill>
            </a:rPr>
            <a:t>オービックの先方品番マスタ</a:t>
          </a:r>
          <a:endParaRPr kumimoji="1" lang="en-US" altLang="ja-JP" sz="1050" b="1">
            <a:solidFill>
              <a:srgbClr val="FF0000"/>
            </a:solidFill>
          </a:endParaRPr>
        </a:p>
        <a:p>
          <a:r>
            <a:rPr kumimoji="1" lang="ja-JP" altLang="en-US" sz="1050" b="1">
              <a:solidFill>
                <a:srgbClr val="FF0000"/>
              </a:solidFill>
            </a:rPr>
            <a:t>を参照</a:t>
          </a:r>
          <a:br>
            <a:rPr kumimoji="1" lang="en-US" altLang="ja-JP" sz="1050" b="1">
              <a:solidFill>
                <a:srgbClr val="FF0000"/>
              </a:solidFill>
            </a:rPr>
          </a:br>
          <a:r>
            <a:rPr kumimoji="1" lang="en-US" altLang="ja-JP" sz="900" b="1">
              <a:solidFill>
                <a:sysClr val="windowText" lastClr="000000"/>
              </a:solidFill>
            </a:rPr>
            <a:t>(</a:t>
          </a:r>
          <a:r>
            <a:rPr lang="en-US" sz="900">
              <a:solidFill>
                <a:sysClr val="windowText" lastClr="000000"/>
              </a:solidFill>
            </a:rPr>
            <a:t>Refer to Obic's customer part number master)</a:t>
          </a:r>
          <a:endParaRPr kumimoji="1" lang="ja-JP" altLang="en-US" sz="1050" b="1">
            <a:solidFill>
              <a:sysClr val="windowText" lastClr="000000"/>
            </a:solidFill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16565</xdr:colOff>
          <xdr:row>5</xdr:row>
          <xdr:rowOff>91109</xdr:rowOff>
        </xdr:from>
        <xdr:to>
          <xdr:col>33</xdr:col>
          <xdr:colOff>8283</xdr:colOff>
          <xdr:row>20</xdr:row>
          <xdr:rowOff>16566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D0955259-28B9-05F0-84DF-C06DD40747B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8:$BF$25" spid="_x0000_s417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700130" y="836544"/>
              <a:ext cx="3296479" cy="21120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7</xdr:row>
      <xdr:rowOff>228600</xdr:rowOff>
    </xdr:from>
    <xdr:to>
      <xdr:col>5</xdr:col>
      <xdr:colOff>219075</xdr:colOff>
      <xdr:row>12</xdr:row>
      <xdr:rowOff>219075</xdr:rowOff>
    </xdr:to>
    <xdr:sp macro="" textlink="">
      <xdr:nvSpPr>
        <xdr:cNvPr id="3" name="円柱 2">
          <a:extLst>
            <a:ext uri="{FF2B5EF4-FFF2-40B4-BE49-F238E27FC236}">
              <a16:creationId xmlns:a16="http://schemas.microsoft.com/office/drawing/2014/main" id="{3B5A96D2-36F0-5DFB-252B-0055CEAED03F}"/>
            </a:ext>
          </a:extLst>
        </xdr:cNvPr>
        <xdr:cNvSpPr/>
      </xdr:nvSpPr>
      <xdr:spPr>
        <a:xfrm>
          <a:off x="95250" y="1895475"/>
          <a:ext cx="1533525" cy="1181100"/>
        </a:xfrm>
        <a:prstGeom prst="can">
          <a:avLst>
            <a:gd name="adj" fmla="val 15816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+mj-ea"/>
              <a:ea typeface="+mj-ea"/>
            </a:rPr>
            <a:t>T0000MS_TorS</a:t>
          </a:r>
        </a:p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+mj-ea"/>
              <a:ea typeface="+mj-ea"/>
            </a:rPr>
            <a:t>Business partner master</a:t>
          </a:r>
          <a:endParaRPr kumimoji="1" lang="ja-JP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95250</xdr:colOff>
      <xdr:row>2</xdr:row>
      <xdr:rowOff>38100</xdr:rowOff>
    </xdr:from>
    <xdr:to>
      <xdr:col>5</xdr:col>
      <xdr:colOff>219075</xdr:colOff>
      <xdr:row>7</xdr:row>
      <xdr:rowOff>28575</xdr:rowOff>
    </xdr:to>
    <xdr:sp macro="" textlink="">
      <xdr:nvSpPr>
        <xdr:cNvPr id="4" name="円柱 3">
          <a:extLst>
            <a:ext uri="{FF2B5EF4-FFF2-40B4-BE49-F238E27FC236}">
              <a16:creationId xmlns:a16="http://schemas.microsoft.com/office/drawing/2014/main" id="{15C9B686-BAE9-43E7-836B-DCFF6A7B9C88}"/>
            </a:ext>
          </a:extLst>
        </xdr:cNvPr>
        <xdr:cNvSpPr/>
      </xdr:nvSpPr>
      <xdr:spPr>
        <a:xfrm>
          <a:off x="95250" y="514350"/>
          <a:ext cx="1533525" cy="1181100"/>
        </a:xfrm>
        <a:prstGeom prst="can">
          <a:avLst>
            <a:gd name="adj" fmla="val 15816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+mj-ea"/>
              <a:ea typeface="+mj-ea"/>
            </a:rPr>
            <a:t>T0000MS_UserHinban</a:t>
          </a:r>
        </a:p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+mj-ea"/>
              <a:ea typeface="+mj-ea"/>
            </a:rPr>
            <a:t>先方品番マスタ</a:t>
          </a:r>
        </a:p>
      </xdr:txBody>
    </xdr:sp>
    <xdr:clientData/>
  </xdr:twoCellAnchor>
  <xdr:twoCellAnchor>
    <xdr:from>
      <xdr:col>8</xdr:col>
      <xdr:colOff>314324</xdr:colOff>
      <xdr:row>3</xdr:row>
      <xdr:rowOff>161925</xdr:rowOff>
    </xdr:from>
    <xdr:to>
      <xdr:col>12</xdr:col>
      <xdr:colOff>19049</xdr:colOff>
      <xdr:row>7</xdr:row>
      <xdr:rowOff>142875</xdr:rowOff>
    </xdr:to>
    <xdr:sp macro="" textlink="">
      <xdr:nvSpPr>
        <xdr:cNvPr id="5" name="円柱 4">
          <a:extLst>
            <a:ext uri="{FF2B5EF4-FFF2-40B4-BE49-F238E27FC236}">
              <a16:creationId xmlns:a16="http://schemas.microsoft.com/office/drawing/2014/main" id="{F6859707-9143-2DC0-9AD5-083EA91018E5}"/>
            </a:ext>
          </a:extLst>
        </xdr:cNvPr>
        <xdr:cNvSpPr/>
      </xdr:nvSpPr>
      <xdr:spPr>
        <a:xfrm>
          <a:off x="2781299" y="876300"/>
          <a:ext cx="1114425" cy="933450"/>
        </a:xfrm>
        <a:prstGeom prst="can">
          <a:avLst>
            <a:gd name="adj" fmla="val 1581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+mj-ea"/>
              <a:ea typeface="+mj-ea"/>
            </a:rPr>
            <a:t>先方品番マスタ</a:t>
          </a:r>
          <a:endParaRPr kumimoji="1" lang="en-US" altLang="ja-JP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219075</xdr:colOff>
      <xdr:row>5</xdr:row>
      <xdr:rowOff>152400</xdr:rowOff>
    </xdr:from>
    <xdr:to>
      <xdr:col>8</xdr:col>
      <xdr:colOff>314324</xdr:colOff>
      <xdr:row>10</xdr:row>
      <xdr:rowOff>104775</xdr:rowOff>
    </xdr:to>
    <xdr:cxnSp macro="">
      <xdr:nvCxnSpPr>
        <xdr:cNvPr id="6" name="コネクタ: カギ線 5">
          <a:extLst>
            <a:ext uri="{FF2B5EF4-FFF2-40B4-BE49-F238E27FC236}">
              <a16:creationId xmlns:a16="http://schemas.microsoft.com/office/drawing/2014/main" id="{DD6AE0EF-5A39-4D74-954B-5FC9A8A490FA}"/>
            </a:ext>
          </a:extLst>
        </xdr:cNvPr>
        <xdr:cNvCxnSpPr>
          <a:stCxn id="3" idx="4"/>
          <a:endCxn id="5" idx="2"/>
        </xdr:cNvCxnSpPr>
      </xdr:nvCxnSpPr>
      <xdr:spPr>
        <a:xfrm flipV="1">
          <a:off x="1628775" y="1343025"/>
          <a:ext cx="1152524" cy="114300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4</xdr:row>
      <xdr:rowOff>152400</xdr:rowOff>
    </xdr:from>
    <xdr:to>
      <xdr:col>8</xdr:col>
      <xdr:colOff>314324</xdr:colOff>
      <xdr:row>5</xdr:row>
      <xdr:rowOff>152400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64FCE4AB-96CD-438D-9A52-32900E8FA682}"/>
            </a:ext>
          </a:extLst>
        </xdr:cNvPr>
        <xdr:cNvCxnSpPr>
          <a:stCxn id="4" idx="4"/>
          <a:endCxn id="5" idx="2"/>
        </xdr:cNvCxnSpPr>
      </xdr:nvCxnSpPr>
      <xdr:spPr>
        <a:xfrm>
          <a:off x="1628775" y="1104900"/>
          <a:ext cx="1152524" cy="23812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19049</xdr:colOff>
      <xdr:row>6</xdr:row>
      <xdr:rowOff>190499</xdr:rowOff>
    </xdr:from>
    <xdr:to>
      <xdr:col>17</xdr:col>
      <xdr:colOff>180975</xdr:colOff>
      <xdr:row>15</xdr:row>
      <xdr:rowOff>9525</xdr:rowOff>
    </xdr:to>
    <xdr:sp macro="" textlink="">
      <xdr:nvSpPr>
        <xdr:cNvPr id="18" name="円柱 17">
          <a:extLst>
            <a:ext uri="{FF2B5EF4-FFF2-40B4-BE49-F238E27FC236}">
              <a16:creationId xmlns:a16="http://schemas.microsoft.com/office/drawing/2014/main" id="{8A36A3A1-A67B-E8AF-D3B7-C599EB19EEBB}"/>
            </a:ext>
          </a:extLst>
        </xdr:cNvPr>
        <xdr:cNvSpPr/>
      </xdr:nvSpPr>
      <xdr:spPr>
        <a:xfrm>
          <a:off x="3981449" y="1333499"/>
          <a:ext cx="1381126" cy="1533526"/>
        </a:xfrm>
        <a:prstGeom prst="can">
          <a:avLst>
            <a:gd name="adj" fmla="val 1581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+mj-ea"/>
              <a:ea typeface="+mj-ea"/>
            </a:rPr>
            <a:t>Performance value master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+mj-ea"/>
              <a:ea typeface="+mj-ea"/>
            </a:rPr>
            <a:t>　・</a:t>
          </a:r>
          <a:r>
            <a:rPr kumimoji="1" lang="en-US" altLang="ja-JP" sz="1000">
              <a:solidFill>
                <a:sysClr val="windowText" lastClr="000000"/>
              </a:solidFill>
              <a:latin typeface="+mj-ea"/>
              <a:ea typeface="+mj-ea"/>
            </a:rPr>
            <a:t>Resistance X/R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+mj-ea"/>
              <a:ea typeface="+mj-ea"/>
            </a:rPr>
            <a:t>　・</a:t>
          </a:r>
          <a:r>
            <a:rPr kumimoji="1" lang="en-US" altLang="ja-JP" sz="1000">
              <a:solidFill>
                <a:sysClr val="windowText" lastClr="000000"/>
              </a:solidFill>
              <a:latin typeface="+mj-ea"/>
              <a:ea typeface="+mj-ea"/>
            </a:rPr>
            <a:t>adhesive store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+mj-ea"/>
              <a:ea typeface="+mj-ea"/>
            </a:rPr>
            <a:t>　・</a:t>
          </a:r>
          <a:r>
            <a:rPr kumimoji="1" lang="en-US" altLang="ja-JP" sz="1000">
              <a:solidFill>
                <a:sysClr val="windowText" lastClr="000000"/>
              </a:solidFill>
              <a:latin typeface="+mj-ea"/>
              <a:ea typeface="+mj-ea"/>
            </a:rPr>
            <a:t>Mesh</a:t>
          </a:r>
        </a:p>
      </xdr:txBody>
    </xdr:sp>
    <xdr:clientData/>
  </xdr:twoCellAnchor>
  <xdr:twoCellAnchor>
    <xdr:from>
      <xdr:col>12</xdr:col>
      <xdr:colOff>19049</xdr:colOff>
      <xdr:row>5</xdr:row>
      <xdr:rowOff>152400</xdr:rowOff>
    </xdr:from>
    <xdr:to>
      <xdr:col>15</xdr:col>
      <xdr:colOff>100012</xdr:colOff>
      <xdr:row>6</xdr:row>
      <xdr:rowOff>190499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E2C7D956-3748-8647-8A75-BF9F47540A83}"/>
            </a:ext>
          </a:extLst>
        </xdr:cNvPr>
        <xdr:cNvCxnSpPr>
          <a:stCxn id="5" idx="4"/>
          <a:endCxn id="18" idx="1"/>
        </xdr:cNvCxnSpPr>
      </xdr:nvCxnSpPr>
      <xdr:spPr>
        <a:xfrm>
          <a:off x="3676649" y="1104900"/>
          <a:ext cx="995363" cy="228599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19050</xdr:colOff>
      <xdr:row>4</xdr:row>
      <xdr:rowOff>123825</xdr:rowOff>
    </xdr:from>
    <xdr:ext cx="1854034" cy="248851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A8AC98B-0578-46BF-BDC8-A8090429DC2D}"/>
            </a:ext>
          </a:extLst>
        </xdr:cNvPr>
        <xdr:cNvSpPr txBox="1"/>
      </xdr:nvSpPr>
      <xdr:spPr>
        <a:xfrm>
          <a:off x="3981450" y="885825"/>
          <a:ext cx="185403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b="1">
              <a:solidFill>
                <a:srgbClr val="FF0000"/>
              </a:solidFill>
            </a:rPr>
            <a:t>Product number + customer CD</a:t>
          </a:r>
          <a:endParaRPr kumimoji="1" lang="ja-JP" altLang="en-US" sz="10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19050</xdr:colOff>
      <xdr:row>3</xdr:row>
      <xdr:rowOff>142875</xdr:rowOff>
    </xdr:from>
    <xdr:ext cx="671081" cy="248851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3A072EE1-2CCD-838F-1814-407C4A1F4E3C}"/>
            </a:ext>
          </a:extLst>
        </xdr:cNvPr>
        <xdr:cNvSpPr txBox="1"/>
      </xdr:nvSpPr>
      <xdr:spPr>
        <a:xfrm>
          <a:off x="1847850" y="714375"/>
          <a:ext cx="67108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b="1">
              <a:solidFill>
                <a:srgbClr val="FF0000"/>
              </a:solidFill>
            </a:rPr>
            <a:t>Client CD</a:t>
          </a:r>
          <a:endParaRPr kumimoji="1" lang="ja-JP" altLang="en-US" sz="10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57150</xdr:colOff>
      <xdr:row>5</xdr:row>
      <xdr:rowOff>161925</xdr:rowOff>
    </xdr:from>
    <xdr:ext cx="1699183" cy="248851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D219A8F2-4AAB-112C-2ECA-2A7D650D5233}"/>
            </a:ext>
          </a:extLst>
        </xdr:cNvPr>
        <xdr:cNvSpPr txBox="1"/>
      </xdr:nvSpPr>
      <xdr:spPr>
        <a:xfrm>
          <a:off x="666750" y="1114425"/>
          <a:ext cx="169918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b="1">
              <a:solidFill>
                <a:srgbClr val="FF0000"/>
              </a:solidFill>
            </a:rPr>
            <a:t>Product Number: LIke '11-%'</a:t>
          </a:r>
          <a:endParaRPr kumimoji="1" lang="ja-JP" altLang="en-US" sz="1000" b="1">
            <a:solidFill>
              <a:srgbClr val="FF0000"/>
            </a:solidFill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135255</xdr:colOff>
          <xdr:row>17</xdr:row>
          <xdr:rowOff>127635</xdr:rowOff>
        </xdr:from>
        <xdr:to>
          <xdr:col>25</xdr:col>
          <xdr:colOff>30480</xdr:colOff>
          <xdr:row>38</xdr:row>
          <xdr:rowOff>127635</xdr:rowOff>
        </xdr:to>
        <xdr:pic>
          <xdr:nvPicPr>
            <xdr:cNvPr id="41" name="図 40">
              <a:extLst>
                <a:ext uri="{FF2B5EF4-FFF2-40B4-BE49-F238E27FC236}">
                  <a16:creationId xmlns:a16="http://schemas.microsoft.com/office/drawing/2014/main" id="{26583290-5658-6D4F-3AB7-2311E889DEB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品番M-DATA (Part Number M-Data)'!$A$1:$E$19" spid="_x0000_s62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85775" y="4013835"/>
              <a:ext cx="8307705" cy="4800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13253</xdr:colOff>
      <xdr:row>13</xdr:row>
      <xdr:rowOff>79513</xdr:rowOff>
    </xdr:from>
    <xdr:to>
      <xdr:col>61</xdr:col>
      <xdr:colOff>45058</xdr:colOff>
      <xdr:row>16</xdr:row>
      <xdr:rowOff>34138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464B22A8-8C05-4D27-AEDC-CAABE8D8F560}"/>
            </a:ext>
          </a:extLst>
        </xdr:cNvPr>
        <xdr:cNvGrpSpPr/>
      </xdr:nvGrpSpPr>
      <xdr:grpSpPr>
        <a:xfrm>
          <a:off x="7509014" y="1760883"/>
          <a:ext cx="3684435" cy="559255"/>
          <a:chOff x="5629275" y="1190618"/>
          <a:chExt cx="4229100" cy="323864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AFE71EE6-B626-D7CF-1A24-2EBD7ACCF5D3}"/>
              </a:ext>
            </a:extLst>
          </xdr:cNvPr>
          <xdr:cNvSpPr/>
        </xdr:nvSpPr>
        <xdr:spPr>
          <a:xfrm>
            <a:off x="5629275" y="1190618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フリーフォーム: 図形 3">
            <a:extLst>
              <a:ext uri="{FF2B5EF4-FFF2-40B4-BE49-F238E27FC236}">
                <a16:creationId xmlns:a16="http://schemas.microsoft.com/office/drawing/2014/main" id="{C5BDE053-4393-C007-30F5-CD7834D95C6E}"/>
              </a:ext>
            </a:extLst>
          </xdr:cNvPr>
          <xdr:cNvSpPr/>
        </xdr:nvSpPr>
        <xdr:spPr>
          <a:xfrm>
            <a:off x="5629275" y="1257293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</xdr:row>
      <xdr:rowOff>123825</xdr:rowOff>
    </xdr:from>
    <xdr:to>
      <xdr:col>12</xdr:col>
      <xdr:colOff>176213</xdr:colOff>
      <xdr:row>12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3B8BBD2-DCD1-0699-E0F2-62FC0E2F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361950"/>
          <a:ext cx="6691313" cy="2571750"/>
        </a:xfrm>
        <a:prstGeom prst="rect">
          <a:avLst/>
        </a:prstGeom>
      </xdr:spPr>
    </xdr:pic>
    <xdr:clientData/>
  </xdr:twoCellAnchor>
  <xdr:oneCellAnchor>
    <xdr:from>
      <xdr:col>2</xdr:col>
      <xdr:colOff>419100</xdr:colOff>
      <xdr:row>2</xdr:row>
      <xdr:rowOff>28575</xdr:rowOff>
    </xdr:from>
    <xdr:ext cx="364202" cy="39280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BDC2168-E60F-0610-AF3D-BC880365B0FA}"/>
            </a:ext>
          </a:extLst>
        </xdr:cNvPr>
        <xdr:cNvSpPr txBox="1"/>
      </xdr:nvSpPr>
      <xdr:spPr>
        <a:xfrm>
          <a:off x="1276350" y="504825"/>
          <a:ext cx="364202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4</xdr:col>
      <xdr:colOff>247650</xdr:colOff>
      <xdr:row>3</xdr:row>
      <xdr:rowOff>76200</xdr:rowOff>
    </xdr:from>
    <xdr:ext cx="364202" cy="3928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7AA1B9E-8B0C-4F69-BEE1-49FB93F08653}"/>
            </a:ext>
          </a:extLst>
        </xdr:cNvPr>
        <xdr:cNvSpPr txBox="1"/>
      </xdr:nvSpPr>
      <xdr:spPr>
        <a:xfrm>
          <a:off x="1962150" y="790575"/>
          <a:ext cx="364202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4</xdr:col>
      <xdr:colOff>295275</xdr:colOff>
      <xdr:row>4</xdr:row>
      <xdr:rowOff>171450</xdr:rowOff>
    </xdr:from>
    <xdr:ext cx="364202" cy="39280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BDF99EB-2D5D-1AC3-C9E4-EA513B4612F0}"/>
            </a:ext>
          </a:extLst>
        </xdr:cNvPr>
        <xdr:cNvSpPr txBox="1"/>
      </xdr:nvSpPr>
      <xdr:spPr>
        <a:xfrm>
          <a:off x="2009775" y="1123950"/>
          <a:ext cx="364202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4</xdr:col>
      <xdr:colOff>295275</xdr:colOff>
      <xdr:row>5</xdr:row>
      <xdr:rowOff>228600</xdr:rowOff>
    </xdr:from>
    <xdr:ext cx="364202" cy="39280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A00E157-1BAD-4B59-A82D-B275FB7A1E78}"/>
            </a:ext>
          </a:extLst>
        </xdr:cNvPr>
        <xdr:cNvSpPr txBox="1"/>
      </xdr:nvSpPr>
      <xdr:spPr>
        <a:xfrm>
          <a:off x="2009775" y="1419225"/>
          <a:ext cx="364202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>
              <a:solidFill>
                <a:srgbClr val="FF0000"/>
              </a:solidFill>
            </a:rPr>
            <a:t>④</a:t>
          </a:r>
        </a:p>
      </xdr:txBody>
    </xdr:sp>
    <xdr:clientData/>
  </xdr:oneCellAnchor>
  <xdr:oneCellAnchor>
    <xdr:from>
      <xdr:col>5</xdr:col>
      <xdr:colOff>190500</xdr:colOff>
      <xdr:row>0</xdr:row>
      <xdr:rowOff>228600</xdr:rowOff>
    </xdr:from>
    <xdr:ext cx="364202" cy="3928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AF23144-1554-461E-95C0-E99DD67F577F}"/>
            </a:ext>
          </a:extLst>
        </xdr:cNvPr>
        <xdr:cNvSpPr txBox="1"/>
      </xdr:nvSpPr>
      <xdr:spPr>
        <a:xfrm>
          <a:off x="2333625" y="228600"/>
          <a:ext cx="364202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>
              <a:solidFill>
                <a:srgbClr val="FF0000"/>
              </a:solidFill>
            </a:rPr>
            <a:t>⑤</a:t>
          </a:r>
        </a:p>
      </xdr:txBody>
    </xdr:sp>
    <xdr:clientData/>
  </xdr:oneCellAnchor>
  <xdr:oneCellAnchor>
    <xdr:from>
      <xdr:col>13</xdr:col>
      <xdr:colOff>219075</xdr:colOff>
      <xdr:row>8</xdr:row>
      <xdr:rowOff>104775</xdr:rowOff>
    </xdr:from>
    <xdr:ext cx="364202" cy="39280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A4BBF1B4-7152-A7AD-29E0-8437BD5722F4}"/>
            </a:ext>
          </a:extLst>
        </xdr:cNvPr>
        <xdr:cNvSpPr txBox="1"/>
      </xdr:nvSpPr>
      <xdr:spPr>
        <a:xfrm>
          <a:off x="5791200" y="2009775"/>
          <a:ext cx="364202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>
              <a:solidFill>
                <a:srgbClr val="FF0000"/>
              </a:solidFill>
            </a:rPr>
            <a:t>⑥</a:t>
          </a:r>
        </a:p>
      </xdr:txBody>
    </xdr:sp>
    <xdr:clientData/>
  </xdr:oneCellAnchor>
  <xdr:oneCellAnchor>
    <xdr:from>
      <xdr:col>14</xdr:col>
      <xdr:colOff>314325</xdr:colOff>
      <xdr:row>9</xdr:row>
      <xdr:rowOff>133350</xdr:rowOff>
    </xdr:from>
    <xdr:ext cx="364202" cy="39280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C1983DEA-2849-0FA1-CB6A-E93DA9050018}"/>
            </a:ext>
          </a:extLst>
        </xdr:cNvPr>
        <xdr:cNvSpPr txBox="1"/>
      </xdr:nvSpPr>
      <xdr:spPr>
        <a:xfrm>
          <a:off x="6315075" y="2276475"/>
          <a:ext cx="364202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>
              <a:solidFill>
                <a:srgbClr val="FF0000"/>
              </a:solidFill>
            </a:rPr>
            <a:t>⑦</a:t>
          </a:r>
        </a:p>
      </xdr:txBody>
    </xdr:sp>
    <xdr:clientData/>
  </xdr:oneCellAnchor>
  <xdr:twoCellAnchor>
    <xdr:from>
      <xdr:col>5</xdr:col>
      <xdr:colOff>176211</xdr:colOff>
      <xdr:row>1</xdr:row>
      <xdr:rowOff>4765</xdr:rowOff>
    </xdr:from>
    <xdr:to>
      <xdr:col>16</xdr:col>
      <xdr:colOff>38099</xdr:colOff>
      <xdr:row>11</xdr:row>
      <xdr:rowOff>47628</xdr:rowOff>
    </xdr:to>
    <xdr:sp macro="" textlink="">
      <xdr:nvSpPr>
        <xdr:cNvPr id="11" name="L 字 10">
          <a:extLst>
            <a:ext uri="{FF2B5EF4-FFF2-40B4-BE49-F238E27FC236}">
              <a16:creationId xmlns:a16="http://schemas.microsoft.com/office/drawing/2014/main" id="{7D01B519-3ECF-3320-EE1F-51AE11724669}"/>
            </a:ext>
          </a:extLst>
        </xdr:cNvPr>
        <xdr:cNvSpPr/>
      </xdr:nvSpPr>
      <xdr:spPr>
        <a:xfrm rot="5400000">
          <a:off x="3395661" y="-833435"/>
          <a:ext cx="2424113" cy="4576763"/>
        </a:xfrm>
        <a:prstGeom prst="corner">
          <a:avLst>
            <a:gd name="adj1" fmla="val 85020"/>
            <a:gd name="adj2" fmla="val 63204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165536</xdr:colOff>
      <xdr:row>23</xdr:row>
      <xdr:rowOff>107404</xdr:rowOff>
    </xdr:from>
    <xdr:to>
      <xdr:col>15</xdr:col>
      <xdr:colOff>336987</xdr:colOff>
      <xdr:row>32</xdr:row>
      <xdr:rowOff>174078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2B00F2FA-77E1-AB15-AF41-0AD3C9EA048F}"/>
            </a:ext>
          </a:extLst>
        </xdr:cNvPr>
        <xdr:cNvGrpSpPr/>
      </xdr:nvGrpSpPr>
      <xdr:grpSpPr>
        <a:xfrm>
          <a:off x="3289736" y="5117554"/>
          <a:ext cx="3981451" cy="1781174"/>
          <a:chOff x="3568261" y="5231196"/>
          <a:chExt cx="4014295" cy="2195019"/>
        </a:xfrm>
      </xdr:grpSpPr>
      <xdr:pic>
        <xdr:nvPicPr>
          <xdr:cNvPr id="12" name="図 11">
            <a:extLst>
              <a:ext uri="{FF2B5EF4-FFF2-40B4-BE49-F238E27FC236}">
                <a16:creationId xmlns:a16="http://schemas.microsoft.com/office/drawing/2014/main" id="{2303C0CB-59F6-D89F-AE43-72935BE8B5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682562" y="5231196"/>
            <a:ext cx="3846390" cy="2138115"/>
          </a:xfrm>
          <a:prstGeom prst="rect">
            <a:avLst/>
          </a:prstGeom>
        </xdr:spPr>
      </xdr:pic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EA610618-2A88-4EBD-88E5-4DB5BAF14185}"/>
              </a:ext>
            </a:extLst>
          </xdr:cNvPr>
          <xdr:cNvSpPr/>
        </xdr:nvSpPr>
        <xdr:spPr>
          <a:xfrm>
            <a:off x="3568261" y="5704161"/>
            <a:ext cx="4014295" cy="172205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" name="直線矢印コネクタ 14">
            <a:extLst>
              <a:ext uri="{FF2B5EF4-FFF2-40B4-BE49-F238E27FC236}">
                <a16:creationId xmlns:a16="http://schemas.microsoft.com/office/drawing/2014/main" id="{CA2C2ABD-4207-A5C3-4067-54E8DBEFC007}"/>
              </a:ext>
            </a:extLst>
          </xdr:cNvPr>
          <xdr:cNvCxnSpPr/>
        </xdr:nvCxnSpPr>
        <xdr:spPr>
          <a:xfrm flipV="1">
            <a:off x="4177862" y="6903983"/>
            <a:ext cx="486104" cy="39414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矢印コネクタ 16">
            <a:extLst>
              <a:ext uri="{FF2B5EF4-FFF2-40B4-BE49-F238E27FC236}">
                <a16:creationId xmlns:a16="http://schemas.microsoft.com/office/drawing/2014/main" id="{652F2A4B-7FA0-4ACE-8CB5-9C51527DA267}"/>
              </a:ext>
            </a:extLst>
          </xdr:cNvPr>
          <xdr:cNvCxnSpPr/>
        </xdr:nvCxnSpPr>
        <xdr:spPr>
          <a:xfrm flipV="1">
            <a:off x="4711262" y="6253655"/>
            <a:ext cx="642445" cy="62536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直線矢印コネクタ 18">
            <a:extLst>
              <a:ext uri="{FF2B5EF4-FFF2-40B4-BE49-F238E27FC236}">
                <a16:creationId xmlns:a16="http://schemas.microsoft.com/office/drawing/2014/main" id="{7FCA0A27-B600-29E1-A3CD-86E68469D66B}"/>
              </a:ext>
            </a:extLst>
          </xdr:cNvPr>
          <xdr:cNvCxnSpPr/>
        </xdr:nvCxnSpPr>
        <xdr:spPr>
          <a:xfrm flipV="1">
            <a:off x="5374728" y="6017172"/>
            <a:ext cx="668720" cy="24436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直線矢印コネクタ 20">
            <a:extLst>
              <a:ext uri="{FF2B5EF4-FFF2-40B4-BE49-F238E27FC236}">
                <a16:creationId xmlns:a16="http://schemas.microsoft.com/office/drawing/2014/main" id="{7ECE7E57-32C5-44D9-9F4E-80A052AAD739}"/>
              </a:ext>
            </a:extLst>
          </xdr:cNvPr>
          <xdr:cNvCxnSpPr/>
        </xdr:nvCxnSpPr>
        <xdr:spPr>
          <a:xfrm>
            <a:off x="6102569" y="6017172"/>
            <a:ext cx="512379" cy="860535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矢印コネクタ 23">
            <a:extLst>
              <a:ext uri="{FF2B5EF4-FFF2-40B4-BE49-F238E27FC236}">
                <a16:creationId xmlns:a16="http://schemas.microsoft.com/office/drawing/2014/main" id="{4B80C4F7-DFFE-4005-9858-7C49D7847CB3}"/>
              </a:ext>
            </a:extLst>
          </xdr:cNvPr>
          <xdr:cNvCxnSpPr/>
        </xdr:nvCxnSpPr>
        <xdr:spPr>
          <a:xfrm>
            <a:off x="6680638" y="6903983"/>
            <a:ext cx="545224" cy="157655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157369</xdr:colOff>
      <xdr:row>45</xdr:row>
      <xdr:rowOff>21772</xdr:rowOff>
    </xdr:from>
    <xdr:to>
      <xdr:col>6</xdr:col>
      <xdr:colOff>284906</xdr:colOff>
      <xdr:row>52</xdr:row>
      <xdr:rowOff>8284</xdr:rowOff>
    </xdr:to>
    <xdr:sp macro="" textlink="">
      <xdr:nvSpPr>
        <xdr:cNvPr id="28" name="矢印: 上下 27">
          <a:extLst>
            <a:ext uri="{FF2B5EF4-FFF2-40B4-BE49-F238E27FC236}">
              <a16:creationId xmlns:a16="http://schemas.microsoft.com/office/drawing/2014/main" id="{8ACB099D-6137-7BAE-B6A9-27AEA6C3AE95}"/>
            </a:ext>
          </a:extLst>
        </xdr:cNvPr>
        <xdr:cNvSpPr/>
      </xdr:nvSpPr>
      <xdr:spPr>
        <a:xfrm>
          <a:off x="2729119" y="9308647"/>
          <a:ext cx="127537" cy="1653387"/>
        </a:xfrm>
        <a:prstGeom prst="up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5</xdr:col>
      <xdr:colOff>331384</xdr:colOff>
      <xdr:row>48</xdr:row>
      <xdr:rowOff>14391</xdr:rowOff>
    </xdr:from>
    <xdr:ext cx="356893" cy="306815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9394414F-F57F-4DA2-9859-E2B048898C75}"/>
            </a:ext>
          </a:extLst>
        </xdr:cNvPr>
        <xdr:cNvSpPr txBox="1"/>
      </xdr:nvSpPr>
      <xdr:spPr>
        <a:xfrm>
          <a:off x="2484034" y="10095651"/>
          <a:ext cx="356893" cy="306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100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309770</xdr:colOff>
      <xdr:row>46</xdr:row>
      <xdr:rowOff>234043</xdr:rowOff>
    </xdr:from>
    <xdr:to>
      <xdr:col>6</xdr:col>
      <xdr:colOff>402647</xdr:colOff>
      <xdr:row>52</xdr:row>
      <xdr:rowOff>3810</xdr:rowOff>
    </xdr:to>
    <xdr:sp macro="" textlink="">
      <xdr:nvSpPr>
        <xdr:cNvPr id="30" name="矢印: 上下 29">
          <a:extLst>
            <a:ext uri="{FF2B5EF4-FFF2-40B4-BE49-F238E27FC236}">
              <a16:creationId xmlns:a16="http://schemas.microsoft.com/office/drawing/2014/main" id="{1D2C9658-0F12-17F6-D966-A69DAC6D331E}"/>
            </a:ext>
          </a:extLst>
        </xdr:cNvPr>
        <xdr:cNvSpPr/>
      </xdr:nvSpPr>
      <xdr:spPr>
        <a:xfrm>
          <a:off x="2881520" y="9759043"/>
          <a:ext cx="92877" cy="1198517"/>
        </a:xfrm>
        <a:prstGeom prst="up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282738</xdr:colOff>
      <xdr:row>45</xdr:row>
      <xdr:rowOff>17318</xdr:rowOff>
    </xdr:from>
    <xdr:to>
      <xdr:col>18</xdr:col>
      <xdr:colOff>282738</xdr:colOff>
      <xdr:row>54</xdr:row>
      <xdr:rowOff>232172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E875AA3C-1A40-8BBA-9F6E-EF05719848C4}"/>
            </a:ext>
          </a:extLst>
        </xdr:cNvPr>
        <xdr:cNvCxnSpPr/>
      </xdr:nvCxnSpPr>
      <xdr:spPr>
        <a:xfrm>
          <a:off x="8035260" y="9384948"/>
          <a:ext cx="0" cy="237661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13253</xdr:colOff>
      <xdr:row>13</xdr:row>
      <xdr:rowOff>79513</xdr:rowOff>
    </xdr:from>
    <xdr:to>
      <xdr:col>61</xdr:col>
      <xdr:colOff>45058</xdr:colOff>
      <xdr:row>16</xdr:row>
      <xdr:rowOff>34138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5625A145-043C-4363-B107-B57DAC1EC65A}"/>
            </a:ext>
          </a:extLst>
        </xdr:cNvPr>
        <xdr:cNvGrpSpPr/>
      </xdr:nvGrpSpPr>
      <xdr:grpSpPr>
        <a:xfrm>
          <a:off x="6970644" y="1694622"/>
          <a:ext cx="3684436" cy="327342"/>
          <a:chOff x="5629275" y="1190618"/>
          <a:chExt cx="4229100" cy="323864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2A30DC04-9DCB-F92A-902B-CAD03AF32466}"/>
              </a:ext>
            </a:extLst>
          </xdr:cNvPr>
          <xdr:cNvSpPr/>
        </xdr:nvSpPr>
        <xdr:spPr>
          <a:xfrm>
            <a:off x="5629275" y="1190618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フリーフォーム: 図形 3">
            <a:extLst>
              <a:ext uri="{FF2B5EF4-FFF2-40B4-BE49-F238E27FC236}">
                <a16:creationId xmlns:a16="http://schemas.microsoft.com/office/drawing/2014/main" id="{B95245CE-22A8-30CD-B179-74D366851053}"/>
              </a:ext>
            </a:extLst>
          </xdr:cNvPr>
          <xdr:cNvSpPr/>
        </xdr:nvSpPr>
        <xdr:spPr>
          <a:xfrm>
            <a:off x="5629275" y="1257293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A5788B-75FC-498C-B19E-A62CB14B5694}">
  <we:reference id="wa200002617" version="1.0.0.2" store="en-US" storeType="OMEX"/>
  <we:alternateReferences>
    <we:reference id="WA200002617" version="1.0.0.2" store="WA20000261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C84:C86"/>
  <sheetViews>
    <sheetView showGridLines="0" zoomScaleNormal="100" workbookViewId="0">
      <selection activeCell="H17" sqref="H17"/>
    </sheetView>
  </sheetViews>
  <sheetFormatPr defaultRowHeight="15"/>
  <sheetData>
    <row r="84" spans="3:3">
      <c r="C84" s="66"/>
    </row>
    <row r="85" spans="3:3">
      <c r="C85" s="66"/>
    </row>
    <row r="86" spans="3:3">
      <c r="C86" s="66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2:BF68"/>
  <sheetViews>
    <sheetView showGridLines="0" view="pageBreakPreview" topLeftCell="A4" zoomScale="85" zoomScaleNormal="100" zoomScaleSheetLayoutView="85" workbookViewId="0">
      <selection activeCell="T22" sqref="T22:AC22"/>
    </sheetView>
  </sheetViews>
  <sheetFormatPr defaultColWidth="2.5703125" defaultRowHeight="9.9499999999999993" customHeight="1"/>
  <cols>
    <col min="1" max="1" width="2.5703125" style="93"/>
    <col min="2" max="2" width="0.42578125" style="93" customWidth="1"/>
    <col min="3" max="4" width="2.5703125" style="93"/>
    <col min="5" max="5" width="9.28515625" style="93" customWidth="1"/>
    <col min="6" max="6" width="2.5703125" style="93"/>
    <col min="7" max="7" width="11" style="93" customWidth="1"/>
    <col min="8" max="8" width="2.5703125" style="93"/>
    <col min="9" max="9" width="9.5703125" style="93" customWidth="1"/>
    <col min="10" max="10" width="2.5703125" style="93"/>
    <col min="11" max="11" width="10" style="93" customWidth="1"/>
    <col min="12" max="12" width="2.5703125" style="93"/>
    <col min="13" max="13" width="5.85546875" style="93" customWidth="1"/>
    <col min="14" max="14" width="2.5703125" style="93"/>
    <col min="15" max="15" width="4.85546875" style="93" customWidth="1"/>
    <col min="16" max="16" width="6.5703125" style="93" customWidth="1"/>
    <col min="17" max="18" width="2.5703125" style="93"/>
    <col min="19" max="19" width="4.28515625" style="93" customWidth="1"/>
    <col min="20" max="20" width="2.5703125" style="93"/>
    <col min="21" max="21" width="5.7109375" style="93" customWidth="1"/>
    <col min="22" max="22" width="2.5703125" style="93"/>
    <col min="23" max="23" width="8.42578125" style="93" customWidth="1"/>
    <col min="24" max="25" width="2.5703125" style="93"/>
    <col min="26" max="26" width="5" style="93" customWidth="1"/>
    <col min="27" max="27" width="2.42578125" style="93" customWidth="1"/>
    <col min="28" max="28" width="2.85546875" style="93" customWidth="1"/>
    <col min="29" max="29" width="5.28515625" style="93" customWidth="1"/>
    <col min="30" max="31" width="2.5703125" style="93"/>
    <col min="32" max="32" width="4.42578125" style="93" customWidth="1"/>
    <col min="33" max="16384" width="2.5703125" style="93"/>
  </cols>
  <sheetData>
    <row r="2" spans="2:58" ht="9.75" customHeight="1">
      <c r="B2" s="90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2"/>
      <c r="AM2" s="182"/>
      <c r="AN2" s="176"/>
      <c r="AO2" s="177"/>
      <c r="AP2" s="177"/>
      <c r="AQ2" s="178"/>
      <c r="AU2" s="172" t="s">
        <v>84</v>
      </c>
      <c r="AV2" s="172"/>
      <c r="AW2" s="175"/>
      <c r="AX2" s="176"/>
      <c r="AY2" s="177"/>
      <c r="AZ2" s="177"/>
      <c r="BA2" s="178"/>
      <c r="BB2" s="182" t="s">
        <v>83</v>
      </c>
      <c r="BC2" s="176"/>
      <c r="BD2" s="177"/>
      <c r="BE2" s="177"/>
      <c r="BF2" s="178"/>
    </row>
    <row r="3" spans="2:58" ht="9.9499999999999993" customHeight="1">
      <c r="B3" s="94"/>
      <c r="C3" s="171" t="s">
        <v>201</v>
      </c>
      <c r="D3" s="172"/>
      <c r="E3" s="175"/>
      <c r="F3" s="176"/>
      <c r="G3" s="177"/>
      <c r="H3" s="177"/>
      <c r="I3" s="178"/>
      <c r="AG3" s="95"/>
      <c r="AM3" s="182"/>
      <c r="AN3" s="179"/>
      <c r="AO3" s="180"/>
      <c r="AP3" s="180"/>
      <c r="AQ3" s="181"/>
      <c r="AU3" s="172"/>
      <c r="AV3" s="172"/>
      <c r="AW3" s="175"/>
      <c r="AX3" s="179"/>
      <c r="AY3" s="180"/>
      <c r="AZ3" s="180"/>
      <c r="BA3" s="181"/>
      <c r="BB3" s="182"/>
      <c r="BC3" s="179"/>
      <c r="BD3" s="180"/>
      <c r="BE3" s="180"/>
      <c r="BF3" s="181"/>
    </row>
    <row r="4" spans="2:58" ht="17.25" customHeight="1">
      <c r="B4" s="94"/>
      <c r="C4" s="172"/>
      <c r="D4" s="172"/>
      <c r="E4" s="175"/>
      <c r="F4" s="179"/>
      <c r="G4" s="180"/>
      <c r="H4" s="180"/>
      <c r="I4" s="181"/>
      <c r="AG4" s="95"/>
      <c r="AK4" s="96"/>
    </row>
    <row r="5" spans="2:58" ht="9.75" customHeight="1">
      <c r="B5" s="94"/>
      <c r="AG5" s="95"/>
      <c r="AK5" s="97"/>
    </row>
    <row r="6" spans="2:58" ht="9.9499999999999993" customHeight="1">
      <c r="B6" s="94"/>
      <c r="C6" s="171" t="s">
        <v>202</v>
      </c>
      <c r="D6" s="172"/>
      <c r="E6" s="172"/>
      <c r="F6" s="176"/>
      <c r="G6" s="177"/>
      <c r="H6" s="177"/>
      <c r="I6" s="177"/>
      <c r="J6" s="177"/>
      <c r="K6" s="177"/>
      <c r="L6" s="178"/>
      <c r="N6" s="184" t="s">
        <v>206</v>
      </c>
      <c r="O6" s="185"/>
      <c r="P6" s="185"/>
      <c r="Q6" s="176"/>
      <c r="R6" s="177"/>
      <c r="S6" s="177"/>
      <c r="T6" s="177"/>
      <c r="U6" s="177"/>
      <c r="V6" s="178"/>
      <c r="X6" s="184" t="s">
        <v>207</v>
      </c>
      <c r="Y6" s="185"/>
      <c r="Z6" s="185"/>
      <c r="AA6" s="176"/>
      <c r="AB6" s="177"/>
      <c r="AC6" s="177"/>
      <c r="AD6" s="177"/>
      <c r="AE6" s="177"/>
      <c r="AF6" s="178"/>
      <c r="AG6" s="95"/>
      <c r="AK6" s="98"/>
    </row>
    <row r="7" spans="2:58" ht="33" customHeight="1">
      <c r="B7" s="94"/>
      <c r="C7" s="172"/>
      <c r="D7" s="172"/>
      <c r="E7" s="172"/>
      <c r="F7" s="179"/>
      <c r="G7" s="180"/>
      <c r="H7" s="180"/>
      <c r="I7" s="180"/>
      <c r="J7" s="180"/>
      <c r="K7" s="180"/>
      <c r="L7" s="181"/>
      <c r="N7" s="185"/>
      <c r="O7" s="185"/>
      <c r="P7" s="185"/>
      <c r="Q7" s="179"/>
      <c r="R7" s="180"/>
      <c r="S7" s="180"/>
      <c r="T7" s="180"/>
      <c r="U7" s="180"/>
      <c r="V7" s="181"/>
      <c r="X7" s="185"/>
      <c r="Y7" s="185"/>
      <c r="Z7" s="185"/>
      <c r="AA7" s="179"/>
      <c r="AB7" s="180"/>
      <c r="AC7" s="180"/>
      <c r="AD7" s="180"/>
      <c r="AE7" s="180"/>
      <c r="AF7" s="181"/>
      <c r="AG7" s="95"/>
      <c r="AK7" s="98"/>
    </row>
    <row r="8" spans="2:58" ht="9.9499999999999993" customHeight="1">
      <c r="B8" s="94"/>
      <c r="C8" s="99"/>
      <c r="D8" s="99"/>
      <c r="E8" s="99"/>
      <c r="AG8" s="95"/>
      <c r="AK8" s="98"/>
    </row>
    <row r="9" spans="2:58" ht="9.9499999999999993" customHeight="1">
      <c r="B9" s="94"/>
      <c r="C9" s="171" t="s">
        <v>205</v>
      </c>
      <c r="D9" s="172"/>
      <c r="E9" s="172"/>
      <c r="F9" s="183" t="s">
        <v>204</v>
      </c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AC9" s="186" t="s">
        <v>259</v>
      </c>
      <c r="AD9" s="157"/>
      <c r="AE9" s="157"/>
      <c r="AF9" s="158"/>
      <c r="AG9" s="95"/>
      <c r="AK9" s="98"/>
    </row>
    <row r="10" spans="2:58" ht="15.75" customHeight="1">
      <c r="B10" s="94"/>
      <c r="C10" s="172"/>
      <c r="D10" s="172"/>
      <c r="E10" s="172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AC10" s="159"/>
      <c r="AD10" s="160"/>
      <c r="AE10" s="160"/>
      <c r="AF10" s="161"/>
      <c r="AG10" s="95"/>
      <c r="AK10" s="97"/>
    </row>
    <row r="11" spans="2:58" ht="9.9499999999999993" customHeight="1" thickBot="1">
      <c r="B11" s="94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95"/>
      <c r="AK11" s="98"/>
    </row>
    <row r="12" spans="2:58" ht="3" customHeight="1" thickTop="1">
      <c r="B12" s="94"/>
      <c r="AG12" s="95"/>
      <c r="AK12" s="98"/>
    </row>
    <row r="13" spans="2:58" ht="59.25" customHeight="1">
      <c r="B13" s="94"/>
      <c r="C13" s="118" t="s">
        <v>293</v>
      </c>
      <c r="D13" s="119"/>
      <c r="E13" s="120"/>
      <c r="F13" s="118" t="s">
        <v>294</v>
      </c>
      <c r="G13" s="119"/>
      <c r="H13" s="120"/>
      <c r="I13" s="118" t="s">
        <v>295</v>
      </c>
      <c r="J13" s="119"/>
      <c r="K13" s="120"/>
      <c r="L13" s="118" t="s">
        <v>281</v>
      </c>
      <c r="M13" s="119"/>
      <c r="N13" s="119"/>
      <c r="O13" s="120"/>
      <c r="P13" s="118" t="s">
        <v>296</v>
      </c>
      <c r="Q13" s="119"/>
      <c r="R13" s="119"/>
      <c r="S13" s="120"/>
      <c r="T13" s="118" t="s">
        <v>203</v>
      </c>
      <c r="U13" s="119"/>
      <c r="V13" s="119"/>
      <c r="W13" s="119"/>
      <c r="X13" s="118" t="s">
        <v>297</v>
      </c>
      <c r="Y13" s="119"/>
      <c r="Z13" s="120"/>
      <c r="AA13" s="118" t="s">
        <v>229</v>
      </c>
      <c r="AB13" s="120"/>
      <c r="AC13" s="118" t="s">
        <v>298</v>
      </c>
      <c r="AD13" s="120"/>
      <c r="AE13" s="118" t="s">
        <v>299</v>
      </c>
      <c r="AF13" s="120"/>
      <c r="AG13" s="95"/>
      <c r="AK13" s="98"/>
    </row>
    <row r="14" spans="2:58" ht="9.9499999999999993" customHeight="1">
      <c r="B14" s="94"/>
      <c r="C14" s="170"/>
      <c r="D14" s="167"/>
      <c r="E14" s="163"/>
      <c r="F14" s="162"/>
      <c r="G14" s="167"/>
      <c r="H14" s="163"/>
      <c r="I14" s="162"/>
      <c r="J14" s="167"/>
      <c r="K14" s="163"/>
      <c r="L14" s="162"/>
      <c r="M14" s="167"/>
      <c r="N14" s="167"/>
      <c r="O14" s="163"/>
      <c r="P14" s="162"/>
      <c r="Q14" s="167"/>
      <c r="R14" s="167"/>
      <c r="S14" s="163"/>
      <c r="T14" s="162"/>
      <c r="U14" s="167"/>
      <c r="V14" s="167"/>
      <c r="W14" s="163"/>
      <c r="X14" s="162"/>
      <c r="Y14" s="167"/>
      <c r="Z14" s="163"/>
      <c r="AA14" s="162"/>
      <c r="AB14" s="163"/>
      <c r="AC14" s="162"/>
      <c r="AD14" s="163"/>
      <c r="AE14" s="162"/>
      <c r="AF14" s="163"/>
      <c r="AG14" s="95"/>
      <c r="AK14" s="98"/>
    </row>
    <row r="15" spans="2:58" ht="9.9499999999999993" customHeight="1">
      <c r="B15" s="94"/>
      <c r="C15" s="164"/>
      <c r="D15" s="168"/>
      <c r="E15" s="165"/>
      <c r="F15" s="164"/>
      <c r="G15" s="168"/>
      <c r="H15" s="165"/>
      <c r="I15" s="164"/>
      <c r="J15" s="168"/>
      <c r="K15" s="165"/>
      <c r="L15" s="164"/>
      <c r="M15" s="168"/>
      <c r="N15" s="168"/>
      <c r="O15" s="165"/>
      <c r="P15" s="164"/>
      <c r="Q15" s="168"/>
      <c r="R15" s="168"/>
      <c r="S15" s="165"/>
      <c r="T15" s="164"/>
      <c r="U15" s="168"/>
      <c r="V15" s="168"/>
      <c r="W15" s="165"/>
      <c r="X15" s="164"/>
      <c r="Y15" s="168"/>
      <c r="Z15" s="165"/>
      <c r="AA15" s="164"/>
      <c r="AB15" s="165"/>
      <c r="AC15" s="164"/>
      <c r="AD15" s="165"/>
      <c r="AE15" s="164"/>
      <c r="AF15" s="165"/>
      <c r="AG15" s="95"/>
      <c r="AK15" s="98"/>
    </row>
    <row r="16" spans="2:58" ht="9.9499999999999993" customHeight="1">
      <c r="B16" s="94"/>
      <c r="C16" s="170"/>
      <c r="D16" s="167"/>
      <c r="E16" s="163"/>
      <c r="F16" s="162"/>
      <c r="G16" s="167"/>
      <c r="H16" s="163"/>
      <c r="I16" s="162"/>
      <c r="J16" s="167"/>
      <c r="K16" s="163"/>
      <c r="L16" s="162"/>
      <c r="M16" s="167"/>
      <c r="N16" s="167"/>
      <c r="O16" s="163"/>
      <c r="P16" s="162"/>
      <c r="Q16" s="167"/>
      <c r="R16" s="167"/>
      <c r="S16" s="163"/>
      <c r="T16" s="162"/>
      <c r="U16" s="167"/>
      <c r="V16" s="167"/>
      <c r="W16" s="163"/>
      <c r="X16" s="162"/>
      <c r="Y16" s="167"/>
      <c r="Z16" s="163"/>
      <c r="AA16" s="162"/>
      <c r="AB16" s="163"/>
      <c r="AC16" s="162"/>
      <c r="AD16" s="163"/>
      <c r="AE16" s="162"/>
      <c r="AF16" s="163"/>
      <c r="AG16" s="95"/>
      <c r="AK16" s="98"/>
    </row>
    <row r="17" spans="2:37" ht="9.9499999999999993" customHeight="1">
      <c r="B17" s="94"/>
      <c r="C17" s="164"/>
      <c r="D17" s="168"/>
      <c r="E17" s="165"/>
      <c r="F17" s="164"/>
      <c r="G17" s="168"/>
      <c r="H17" s="165"/>
      <c r="I17" s="164"/>
      <c r="J17" s="168"/>
      <c r="K17" s="165"/>
      <c r="L17" s="164"/>
      <c r="M17" s="168"/>
      <c r="N17" s="168"/>
      <c r="O17" s="165"/>
      <c r="P17" s="164"/>
      <c r="Q17" s="168"/>
      <c r="R17" s="168"/>
      <c r="S17" s="165"/>
      <c r="T17" s="164"/>
      <c r="U17" s="168"/>
      <c r="V17" s="168"/>
      <c r="W17" s="165"/>
      <c r="X17" s="164"/>
      <c r="Y17" s="168"/>
      <c r="Z17" s="165"/>
      <c r="AA17" s="164"/>
      <c r="AB17" s="165"/>
      <c r="AC17" s="164"/>
      <c r="AD17" s="165"/>
      <c r="AE17" s="164"/>
      <c r="AF17" s="165"/>
      <c r="AG17" s="95"/>
      <c r="AK17" s="98"/>
    </row>
    <row r="18" spans="2:37" ht="9.9499999999999993" customHeight="1">
      <c r="B18" s="94"/>
      <c r="C18" s="170"/>
      <c r="D18" s="167"/>
      <c r="E18" s="163"/>
      <c r="F18" s="162"/>
      <c r="G18" s="167"/>
      <c r="H18" s="163"/>
      <c r="I18" s="162"/>
      <c r="J18" s="167"/>
      <c r="K18" s="163"/>
      <c r="L18" s="162"/>
      <c r="M18" s="167"/>
      <c r="N18" s="167"/>
      <c r="O18" s="163"/>
      <c r="P18" s="162"/>
      <c r="Q18" s="167"/>
      <c r="R18" s="167"/>
      <c r="S18" s="163"/>
      <c r="T18" s="162"/>
      <c r="U18" s="167"/>
      <c r="V18" s="167"/>
      <c r="W18" s="163"/>
      <c r="X18" s="162"/>
      <c r="Y18" s="167"/>
      <c r="Z18" s="163"/>
      <c r="AA18" s="162"/>
      <c r="AB18" s="163"/>
      <c r="AC18" s="162"/>
      <c r="AD18" s="163"/>
      <c r="AE18" s="162"/>
      <c r="AF18" s="163"/>
      <c r="AG18" s="95"/>
      <c r="AK18" s="98"/>
    </row>
    <row r="19" spans="2:37" ht="9.9499999999999993" customHeight="1">
      <c r="B19" s="94"/>
      <c r="C19" s="164"/>
      <c r="D19" s="168"/>
      <c r="E19" s="165"/>
      <c r="F19" s="164"/>
      <c r="G19" s="168"/>
      <c r="H19" s="165"/>
      <c r="I19" s="164"/>
      <c r="J19" s="168"/>
      <c r="K19" s="165"/>
      <c r="L19" s="164"/>
      <c r="M19" s="168"/>
      <c r="N19" s="168"/>
      <c r="O19" s="165"/>
      <c r="P19" s="164"/>
      <c r="Q19" s="168"/>
      <c r="R19" s="168"/>
      <c r="S19" s="165"/>
      <c r="T19" s="164"/>
      <c r="U19" s="168"/>
      <c r="V19" s="168"/>
      <c r="W19" s="165"/>
      <c r="X19" s="164"/>
      <c r="Y19" s="168"/>
      <c r="Z19" s="165"/>
      <c r="AA19" s="164"/>
      <c r="AB19" s="165"/>
      <c r="AC19" s="164"/>
      <c r="AD19" s="165"/>
      <c r="AE19" s="164"/>
      <c r="AF19" s="165"/>
      <c r="AG19" s="95"/>
      <c r="AK19" s="98"/>
    </row>
    <row r="20" spans="2:37" ht="9.9499999999999993" customHeight="1">
      <c r="B20" s="94"/>
      <c r="C20" s="173" t="s">
        <v>210</v>
      </c>
      <c r="D20" s="173"/>
      <c r="E20" s="173"/>
      <c r="AG20" s="95"/>
      <c r="AK20" s="98"/>
    </row>
    <row r="21" spans="2:37" ht="9.9499999999999993" customHeight="1">
      <c r="B21" s="94"/>
      <c r="C21" s="174"/>
      <c r="D21" s="174"/>
      <c r="E21" s="174"/>
      <c r="AG21" s="95"/>
      <c r="AK21" s="98"/>
    </row>
    <row r="22" spans="2:37" ht="59.25" customHeight="1">
      <c r="B22" s="94"/>
      <c r="C22" s="126" t="s">
        <v>300</v>
      </c>
      <c r="D22" s="127"/>
      <c r="E22" s="128"/>
      <c r="F22" s="129" t="s">
        <v>301</v>
      </c>
      <c r="G22" s="128"/>
      <c r="H22" s="129" t="s">
        <v>302</v>
      </c>
      <c r="I22" s="128"/>
      <c r="J22" s="124" t="s">
        <v>303</v>
      </c>
      <c r="K22" s="125"/>
      <c r="L22" s="124" t="s">
        <v>304</v>
      </c>
      <c r="M22" s="125"/>
      <c r="N22" s="124" t="s">
        <v>305</v>
      </c>
      <c r="O22" s="125"/>
      <c r="P22" s="124" t="s">
        <v>306</v>
      </c>
      <c r="Q22" s="125"/>
      <c r="R22" s="124" t="s">
        <v>307</v>
      </c>
      <c r="S22" s="125"/>
      <c r="T22" s="135" t="s">
        <v>308</v>
      </c>
      <c r="U22" s="136"/>
      <c r="V22" s="135" t="s">
        <v>309</v>
      </c>
      <c r="W22" s="136"/>
      <c r="X22" s="135" t="s">
        <v>310</v>
      </c>
      <c r="Y22" s="136"/>
      <c r="Z22" s="135" t="s">
        <v>311</v>
      </c>
      <c r="AA22" s="136"/>
      <c r="AB22" s="137" t="s">
        <v>57</v>
      </c>
      <c r="AC22" s="137"/>
      <c r="AG22" s="95"/>
      <c r="AK22" s="98"/>
    </row>
    <row r="23" spans="2:37" ht="9.9499999999999993" customHeight="1">
      <c r="B23" s="94"/>
      <c r="C23" s="170"/>
      <c r="D23" s="167"/>
      <c r="E23" s="163"/>
      <c r="F23" s="162"/>
      <c r="G23" s="163"/>
      <c r="H23" s="162"/>
      <c r="I23" s="163"/>
      <c r="J23" s="162"/>
      <c r="K23" s="163"/>
      <c r="L23" s="162"/>
      <c r="M23" s="163"/>
      <c r="N23" s="162"/>
      <c r="O23" s="163"/>
      <c r="P23" s="162" t="s">
        <v>85</v>
      </c>
      <c r="Q23" s="163"/>
      <c r="R23" s="169" t="s">
        <v>87</v>
      </c>
      <c r="S23" s="163"/>
      <c r="T23" s="162"/>
      <c r="U23" s="167"/>
      <c r="V23" s="162"/>
      <c r="W23" s="167"/>
      <c r="X23" s="162"/>
      <c r="Y23" s="167"/>
      <c r="Z23" s="162"/>
      <c r="AA23" s="167"/>
      <c r="AB23" s="166"/>
      <c r="AC23" s="166"/>
      <c r="AG23" s="95"/>
      <c r="AK23" s="97"/>
    </row>
    <row r="24" spans="2:37" ht="9.9499999999999993" customHeight="1">
      <c r="B24" s="94"/>
      <c r="C24" s="164"/>
      <c r="D24" s="168"/>
      <c r="E24" s="165"/>
      <c r="F24" s="164"/>
      <c r="G24" s="165"/>
      <c r="H24" s="164"/>
      <c r="I24" s="165"/>
      <c r="J24" s="164"/>
      <c r="K24" s="165"/>
      <c r="L24" s="164"/>
      <c r="M24" s="165"/>
      <c r="N24" s="164"/>
      <c r="O24" s="165"/>
      <c r="P24" s="164"/>
      <c r="Q24" s="165"/>
      <c r="R24" s="164"/>
      <c r="S24" s="165"/>
      <c r="T24" s="164"/>
      <c r="U24" s="168"/>
      <c r="V24" s="164"/>
      <c r="W24" s="168"/>
      <c r="X24" s="164"/>
      <c r="Y24" s="168"/>
      <c r="Z24" s="164"/>
      <c r="AA24" s="168"/>
      <c r="AB24" s="166"/>
      <c r="AC24" s="166"/>
      <c r="AG24" s="95"/>
      <c r="AK24" s="97"/>
    </row>
    <row r="25" spans="2:37" ht="9.9499999999999993" customHeight="1">
      <c r="B25" s="94"/>
      <c r="C25" s="170"/>
      <c r="D25" s="167"/>
      <c r="E25" s="163"/>
      <c r="F25" s="162"/>
      <c r="G25" s="163"/>
      <c r="H25" s="162"/>
      <c r="I25" s="167"/>
      <c r="J25" s="162"/>
      <c r="K25" s="163"/>
      <c r="L25" s="162"/>
      <c r="M25" s="163"/>
      <c r="N25" s="162"/>
      <c r="O25" s="163"/>
      <c r="P25" s="162" t="s">
        <v>85</v>
      </c>
      <c r="Q25" s="163"/>
      <c r="R25" s="169" t="s">
        <v>87</v>
      </c>
      <c r="S25" s="163"/>
      <c r="T25" s="162"/>
      <c r="U25" s="167"/>
      <c r="V25" s="162"/>
      <c r="W25" s="167"/>
      <c r="X25" s="162"/>
      <c r="Y25" s="167"/>
      <c r="Z25" s="162"/>
      <c r="AA25" s="167"/>
      <c r="AB25" s="166"/>
      <c r="AC25" s="166"/>
      <c r="AG25" s="95"/>
      <c r="AK25" s="96"/>
    </row>
    <row r="26" spans="2:37" ht="9.9499999999999993" customHeight="1">
      <c r="B26" s="94"/>
      <c r="C26" s="164"/>
      <c r="D26" s="168"/>
      <c r="E26" s="165"/>
      <c r="F26" s="164"/>
      <c r="G26" s="165"/>
      <c r="H26" s="164"/>
      <c r="I26" s="168"/>
      <c r="J26" s="164"/>
      <c r="K26" s="165"/>
      <c r="L26" s="164"/>
      <c r="M26" s="165"/>
      <c r="N26" s="164"/>
      <c r="O26" s="165"/>
      <c r="P26" s="164"/>
      <c r="Q26" s="165"/>
      <c r="R26" s="164"/>
      <c r="S26" s="165"/>
      <c r="T26" s="164"/>
      <c r="U26" s="168"/>
      <c r="V26" s="164"/>
      <c r="W26" s="168"/>
      <c r="X26" s="164"/>
      <c r="Y26" s="168"/>
      <c r="Z26" s="164"/>
      <c r="AA26" s="168"/>
      <c r="AB26" s="166"/>
      <c r="AC26" s="166"/>
      <c r="AG26" s="95"/>
      <c r="AK26" s="96"/>
    </row>
    <row r="27" spans="2:37" ht="9.9499999999999993" customHeight="1">
      <c r="B27" s="94"/>
      <c r="C27" s="170"/>
      <c r="D27" s="167"/>
      <c r="E27" s="163"/>
      <c r="F27" s="162"/>
      <c r="G27" s="163"/>
      <c r="H27" s="162"/>
      <c r="I27" s="167"/>
      <c r="J27" s="162"/>
      <c r="K27" s="163"/>
      <c r="L27" s="162"/>
      <c r="M27" s="163"/>
      <c r="N27" s="162"/>
      <c r="O27" s="163"/>
      <c r="P27" s="162" t="s">
        <v>85</v>
      </c>
      <c r="Q27" s="163"/>
      <c r="R27" s="169" t="s">
        <v>87</v>
      </c>
      <c r="S27" s="163"/>
      <c r="T27" s="162"/>
      <c r="U27" s="167"/>
      <c r="V27" s="162"/>
      <c r="W27" s="167"/>
      <c r="X27" s="162"/>
      <c r="Y27" s="167"/>
      <c r="Z27" s="162"/>
      <c r="AA27" s="167"/>
      <c r="AB27" s="166"/>
      <c r="AC27" s="166"/>
      <c r="AG27" s="95"/>
      <c r="AK27" s="97"/>
    </row>
    <row r="28" spans="2:37" ht="9.9499999999999993" customHeight="1">
      <c r="B28" s="94"/>
      <c r="C28" s="164"/>
      <c r="D28" s="168"/>
      <c r="E28" s="165"/>
      <c r="F28" s="164"/>
      <c r="G28" s="165"/>
      <c r="H28" s="164"/>
      <c r="I28" s="168"/>
      <c r="J28" s="164"/>
      <c r="K28" s="165"/>
      <c r="L28" s="164"/>
      <c r="M28" s="165"/>
      <c r="N28" s="164"/>
      <c r="O28" s="165"/>
      <c r="P28" s="164"/>
      <c r="Q28" s="165"/>
      <c r="R28" s="164"/>
      <c r="S28" s="165"/>
      <c r="T28" s="164"/>
      <c r="U28" s="168"/>
      <c r="V28" s="164"/>
      <c r="W28" s="168"/>
      <c r="X28" s="164"/>
      <c r="Y28" s="168"/>
      <c r="Z28" s="164"/>
      <c r="AA28" s="168"/>
      <c r="AB28" s="166"/>
      <c r="AC28" s="166"/>
      <c r="AG28" s="95"/>
      <c r="AK28" s="98"/>
    </row>
    <row r="29" spans="2:37" ht="9.9499999999999993" customHeight="1">
      <c r="B29" s="94"/>
      <c r="AG29" s="95"/>
      <c r="AK29" s="97"/>
    </row>
    <row r="30" spans="2:37" ht="9.9499999999999993" customHeight="1">
      <c r="B30" s="94"/>
      <c r="AG30" s="95"/>
      <c r="AK30" s="97"/>
    </row>
    <row r="31" spans="2:37" ht="9.9499999999999993" customHeight="1">
      <c r="B31" s="94"/>
      <c r="AG31" s="95"/>
      <c r="AK31" s="96"/>
    </row>
    <row r="32" spans="2:37" ht="9.9499999999999993" customHeight="1">
      <c r="B32" s="94"/>
      <c r="AG32" s="95"/>
      <c r="AK32" s="97"/>
    </row>
    <row r="33" spans="2:37" ht="9.9499999999999993" customHeight="1">
      <c r="B33" s="94"/>
      <c r="AG33" s="95"/>
      <c r="AK33" s="98"/>
    </row>
    <row r="34" spans="2:37" ht="9.9499999999999993" customHeight="1" thickBot="1">
      <c r="B34" s="94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95"/>
      <c r="AK34" s="98"/>
    </row>
    <row r="35" spans="2:37" ht="9.9499999999999993" customHeight="1" thickTop="1">
      <c r="B35" s="94"/>
      <c r="AG35" s="95"/>
      <c r="AK35" s="98"/>
    </row>
    <row r="36" spans="2:37" ht="9.9499999999999993" customHeight="1">
      <c r="B36" s="94"/>
      <c r="AG36" s="95"/>
    </row>
    <row r="37" spans="2:37" ht="9.9499999999999993" customHeight="1">
      <c r="B37" s="94"/>
      <c r="AG37" s="95"/>
    </row>
    <row r="38" spans="2:37" ht="9.9499999999999993" customHeight="1">
      <c r="B38" s="94"/>
      <c r="X38" s="156" t="s">
        <v>208</v>
      </c>
      <c r="Y38" s="157"/>
      <c r="Z38" s="157"/>
      <c r="AA38" s="158"/>
      <c r="AC38" s="156" t="s">
        <v>209</v>
      </c>
      <c r="AD38" s="157"/>
      <c r="AE38" s="157"/>
      <c r="AF38" s="158"/>
      <c r="AG38" s="95"/>
    </row>
    <row r="39" spans="2:37" ht="9.9499999999999993" customHeight="1">
      <c r="B39" s="94"/>
      <c r="X39" s="159"/>
      <c r="Y39" s="160"/>
      <c r="Z39" s="160"/>
      <c r="AA39" s="161"/>
      <c r="AC39" s="159"/>
      <c r="AD39" s="160"/>
      <c r="AE39" s="160"/>
      <c r="AF39" s="161"/>
      <c r="AG39" s="95"/>
    </row>
    <row r="40" spans="2:37" ht="9.9499999999999993" customHeight="1">
      <c r="B40" s="101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3"/>
    </row>
    <row r="42" spans="2:37" ht="9.9499999999999993" customHeight="1"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</row>
    <row r="43" spans="2:37" ht="9.9499999999999993" customHeight="1"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</row>
    <row r="44" spans="2:37" ht="9.9499999999999993" customHeight="1"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</row>
    <row r="45" spans="2:37" ht="9.9499999999999993" customHeight="1"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</row>
    <row r="46" spans="2:37" ht="9.9499999999999993" customHeight="1"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</row>
    <row r="47" spans="2:37" ht="9.9499999999999993" customHeight="1"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</row>
    <row r="48" spans="2:37" ht="9.9499999999999993" customHeight="1"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</row>
    <row r="49" spans="3:34" ht="9.9499999999999993" customHeight="1"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</row>
    <row r="50" spans="3:34" ht="9.9499999999999993" customHeight="1"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</row>
    <row r="51" spans="3:34" ht="9.9499999999999993" customHeight="1"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</row>
    <row r="52" spans="3:34" ht="9.9499999999999993" customHeight="1"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</row>
    <row r="53" spans="3:34" ht="9.9499999999999993" customHeight="1"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</row>
    <row r="54" spans="3:34" ht="9.9499999999999993" customHeight="1"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</row>
    <row r="55" spans="3:34" ht="9.9499999999999993" customHeight="1"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</row>
    <row r="56" spans="3:34" ht="9.9499999999999993" customHeight="1"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</row>
    <row r="57" spans="3:34" ht="9.9499999999999993" customHeight="1"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</row>
    <row r="58" spans="3:34" ht="9.9499999999999993" customHeight="1"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</row>
    <row r="59" spans="3:34" ht="9.9499999999999993" customHeight="1"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</row>
    <row r="60" spans="3:34" ht="9.9499999999999993" customHeight="1"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</row>
    <row r="61" spans="3:34" ht="9.9499999999999993" customHeight="1"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</row>
    <row r="62" spans="3:34" ht="9.9499999999999993" customHeight="1"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</row>
    <row r="63" spans="3:34" ht="9.9499999999999993" customHeight="1"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</row>
    <row r="64" spans="3:34" ht="9.9499999999999993" customHeight="1"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</row>
    <row r="65" spans="3:34" ht="9.9499999999999993" customHeight="1"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</row>
    <row r="66" spans="3:34" ht="9.9499999999999993" customHeight="1"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</row>
    <row r="67" spans="3:34" ht="9.9499999999999993" customHeight="1"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</row>
    <row r="68" spans="3:34" ht="9.9499999999999993" customHeight="1"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</row>
  </sheetData>
  <mergeCells count="112">
    <mergeCell ref="AE13:AF13"/>
    <mergeCell ref="AE14:AF15"/>
    <mergeCell ref="AE16:AF17"/>
    <mergeCell ref="AE18:AF19"/>
    <mergeCell ref="X22:Y22"/>
    <mergeCell ref="Z22:AA22"/>
    <mergeCell ref="AB22:AC22"/>
    <mergeCell ref="X23:Y24"/>
    <mergeCell ref="Z23:AA24"/>
    <mergeCell ref="AC13:AD13"/>
    <mergeCell ref="AC16:AD17"/>
    <mergeCell ref="X18:Z19"/>
    <mergeCell ref="AC18:AD19"/>
    <mergeCell ref="X14:Z15"/>
    <mergeCell ref="AC14:AD15"/>
    <mergeCell ref="C27:E28"/>
    <mergeCell ref="T13:W13"/>
    <mergeCell ref="T14:W15"/>
    <mergeCell ref="T16:W17"/>
    <mergeCell ref="T18:W19"/>
    <mergeCell ref="V22:W22"/>
    <mergeCell ref="V23:W24"/>
    <mergeCell ref="L13:O13"/>
    <mergeCell ref="L14:O15"/>
    <mergeCell ref="L16:O17"/>
    <mergeCell ref="L18:O19"/>
    <mergeCell ref="J22:K22"/>
    <mergeCell ref="L22:M22"/>
    <mergeCell ref="P22:Q22"/>
    <mergeCell ref="C14:E15"/>
    <mergeCell ref="P14:S15"/>
    <mergeCell ref="F14:H15"/>
    <mergeCell ref="I14:K15"/>
    <mergeCell ref="J25:K26"/>
    <mergeCell ref="C18:E19"/>
    <mergeCell ref="P18:S19"/>
    <mergeCell ref="F23:G24"/>
    <mergeCell ref="F25:G26"/>
    <mergeCell ref="F27:G28"/>
    <mergeCell ref="AU2:AW3"/>
    <mergeCell ref="AX2:BA3"/>
    <mergeCell ref="BB2:BB3"/>
    <mergeCell ref="BC2:BF3"/>
    <mergeCell ref="F13:H13"/>
    <mergeCell ref="I13:K13"/>
    <mergeCell ref="F9:Q10"/>
    <mergeCell ref="N6:P7"/>
    <mergeCell ref="C25:E26"/>
    <mergeCell ref="Q6:V7"/>
    <mergeCell ref="X6:Z7"/>
    <mergeCell ref="AA6:AF7"/>
    <mergeCell ref="H23:I24"/>
    <mergeCell ref="H25:I26"/>
    <mergeCell ref="AC9:AF10"/>
    <mergeCell ref="C6:E7"/>
    <mergeCell ref="F6:L7"/>
    <mergeCell ref="C13:E13"/>
    <mergeCell ref="P13:S13"/>
    <mergeCell ref="X13:Z13"/>
    <mergeCell ref="F3:I4"/>
    <mergeCell ref="AN2:AQ3"/>
    <mergeCell ref="AM2:AM3"/>
    <mergeCell ref="C3:E4"/>
    <mergeCell ref="C16:E17"/>
    <mergeCell ref="P16:S17"/>
    <mergeCell ref="F16:H17"/>
    <mergeCell ref="I16:K17"/>
    <mergeCell ref="X16:Z17"/>
    <mergeCell ref="C22:E22"/>
    <mergeCell ref="C23:E24"/>
    <mergeCell ref="AA13:AB13"/>
    <mergeCell ref="C9:E10"/>
    <mergeCell ref="F18:H19"/>
    <mergeCell ref="I18:K19"/>
    <mergeCell ref="J23:K24"/>
    <mergeCell ref="L23:M24"/>
    <mergeCell ref="C20:E21"/>
    <mergeCell ref="L25:M26"/>
    <mergeCell ref="L27:M28"/>
    <mergeCell ref="F22:G22"/>
    <mergeCell ref="H22:I22"/>
    <mergeCell ref="T22:U22"/>
    <mergeCell ref="R23:S24"/>
    <mergeCell ref="R25:S26"/>
    <mergeCell ref="R27:S28"/>
    <mergeCell ref="P23:Q24"/>
    <mergeCell ref="P25:Q26"/>
    <mergeCell ref="P27:Q28"/>
    <mergeCell ref="T23:U24"/>
    <mergeCell ref="T25:U26"/>
    <mergeCell ref="T27:U28"/>
    <mergeCell ref="H27:I28"/>
    <mergeCell ref="J27:K28"/>
    <mergeCell ref="AC38:AF39"/>
    <mergeCell ref="N22:O22"/>
    <mergeCell ref="N23:O24"/>
    <mergeCell ref="N25:O26"/>
    <mergeCell ref="N27:O28"/>
    <mergeCell ref="R22:S22"/>
    <mergeCell ref="X38:AA39"/>
    <mergeCell ref="AA14:AB15"/>
    <mergeCell ref="AA16:AB17"/>
    <mergeCell ref="AA18:AB19"/>
    <mergeCell ref="AB23:AC24"/>
    <mergeCell ref="V25:W26"/>
    <mergeCell ref="X25:Y26"/>
    <mergeCell ref="Z25:AA26"/>
    <mergeCell ref="AB25:AC26"/>
    <mergeCell ref="V27:W28"/>
    <mergeCell ref="X27:Y28"/>
    <mergeCell ref="Z27:AA28"/>
    <mergeCell ref="AB27:AC28"/>
  </mergeCells>
  <phoneticPr fontId="1"/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H20"/>
  <sheetViews>
    <sheetView showGridLines="0" workbookViewId="0">
      <selection activeCell="W7" sqref="W7:Y7"/>
    </sheetView>
  </sheetViews>
  <sheetFormatPr defaultColWidth="2.5703125" defaultRowHeight="15"/>
  <cols>
    <col min="10" max="10" width="11" customWidth="1"/>
    <col min="26" max="26" width="7.7109375" customWidth="1"/>
  </cols>
  <sheetData>
    <row r="1" spans="1:60">
      <c r="A1" t="s">
        <v>211</v>
      </c>
    </row>
    <row r="3" spans="1:60">
      <c r="B3" s="89" t="s">
        <v>212</v>
      </c>
    </row>
    <row r="4" spans="1:60">
      <c r="C4" s="89" t="s">
        <v>213</v>
      </c>
      <c r="E4" t="s">
        <v>214</v>
      </c>
      <c r="K4" s="68" t="s">
        <v>215</v>
      </c>
      <c r="R4" t="s">
        <v>216</v>
      </c>
      <c r="T4" t="s">
        <v>217</v>
      </c>
      <c r="AA4" t="s">
        <v>218</v>
      </c>
    </row>
    <row r="5" spans="1:60">
      <c r="T5" s="68" t="s">
        <v>185</v>
      </c>
      <c r="AB5" s="79" t="s">
        <v>219</v>
      </c>
    </row>
    <row r="6" spans="1:60" ht="3.75" customHeight="1"/>
    <row r="7" spans="1:60" ht="85.5" customHeight="1">
      <c r="B7" s="118" t="s">
        <v>293</v>
      </c>
      <c r="C7" s="119"/>
      <c r="D7" s="120"/>
      <c r="E7" s="118" t="s">
        <v>294</v>
      </c>
      <c r="F7" s="119"/>
      <c r="G7" s="120"/>
      <c r="H7" s="118" t="s">
        <v>295</v>
      </c>
      <c r="I7" s="119"/>
      <c r="J7" s="120"/>
      <c r="K7" s="118" t="s">
        <v>281</v>
      </c>
      <c r="L7" s="119"/>
      <c r="M7" s="119"/>
      <c r="N7" s="120"/>
      <c r="O7" s="118" t="s">
        <v>296</v>
      </c>
      <c r="P7" s="119"/>
      <c r="Q7" s="119"/>
      <c r="R7" s="120"/>
      <c r="S7" s="118" t="s">
        <v>203</v>
      </c>
      <c r="T7" s="119"/>
      <c r="U7" s="119"/>
      <c r="V7" s="119"/>
      <c r="W7" s="118" t="s">
        <v>297</v>
      </c>
      <c r="X7" s="119"/>
      <c r="Y7" s="120"/>
      <c r="Z7" s="118" t="s">
        <v>229</v>
      </c>
      <c r="AA7" s="120"/>
      <c r="AB7" s="118" t="s">
        <v>298</v>
      </c>
      <c r="AC7" s="120"/>
      <c r="AD7" s="121" t="s">
        <v>299</v>
      </c>
      <c r="AE7" s="122"/>
      <c r="AF7" s="122"/>
      <c r="AG7" s="123"/>
      <c r="AH7" s="126" t="s">
        <v>300</v>
      </c>
      <c r="AI7" s="127"/>
      <c r="AJ7" s="128"/>
      <c r="AK7" s="129" t="s">
        <v>301</v>
      </c>
      <c r="AL7" s="128"/>
      <c r="AM7" s="129" t="s">
        <v>302</v>
      </c>
      <c r="AN7" s="128"/>
      <c r="AO7" s="124" t="s">
        <v>303</v>
      </c>
      <c r="AP7" s="125"/>
      <c r="AQ7" s="124" t="s">
        <v>304</v>
      </c>
      <c r="AR7" s="125"/>
      <c r="AS7" s="124" t="s">
        <v>305</v>
      </c>
      <c r="AT7" s="125"/>
      <c r="AU7" s="124" t="s">
        <v>306</v>
      </c>
      <c r="AV7" s="125"/>
      <c r="AW7" s="124" t="s">
        <v>307</v>
      </c>
      <c r="AX7" s="125"/>
      <c r="AY7" s="135" t="s">
        <v>308</v>
      </c>
      <c r="AZ7" s="136"/>
      <c r="BA7" s="135" t="s">
        <v>309</v>
      </c>
      <c r="BB7" s="136"/>
      <c r="BC7" s="135" t="s">
        <v>310</v>
      </c>
      <c r="BD7" s="136"/>
      <c r="BE7" s="135" t="s">
        <v>311</v>
      </c>
      <c r="BF7" s="136"/>
      <c r="BG7" s="137" t="s">
        <v>57</v>
      </c>
      <c r="BH7" s="137"/>
    </row>
    <row r="8" spans="1:60">
      <c r="B8" s="140"/>
      <c r="C8" s="138"/>
      <c r="D8" s="131"/>
      <c r="E8" s="130"/>
      <c r="F8" s="138"/>
      <c r="G8" s="131"/>
      <c r="H8" s="130"/>
      <c r="I8" s="138"/>
      <c r="J8" s="131"/>
      <c r="K8" s="130"/>
      <c r="L8" s="138"/>
      <c r="M8" s="138"/>
      <c r="N8" s="131"/>
      <c r="O8" s="130"/>
      <c r="P8" s="138"/>
      <c r="Q8" s="138"/>
      <c r="R8" s="131"/>
      <c r="S8" s="130"/>
      <c r="T8" s="138"/>
      <c r="U8" s="138"/>
      <c r="V8" s="131"/>
      <c r="W8" s="132">
        <v>40000</v>
      </c>
      <c r="X8" s="133"/>
      <c r="Y8" s="134"/>
      <c r="Z8" s="130"/>
      <c r="AA8" s="131"/>
      <c r="AB8" s="130" t="s">
        <v>184</v>
      </c>
      <c r="AC8" s="131"/>
      <c r="AD8" s="132" t="s">
        <v>314</v>
      </c>
      <c r="AE8" s="133"/>
      <c r="AF8" s="133"/>
      <c r="AG8" s="134"/>
      <c r="AH8" s="140"/>
      <c r="AI8" s="141"/>
      <c r="AJ8" s="142"/>
      <c r="AK8" s="130"/>
      <c r="AL8" s="131"/>
      <c r="AM8" s="130"/>
      <c r="AN8" s="131"/>
      <c r="AO8" s="130"/>
      <c r="AP8" s="131"/>
      <c r="AQ8" s="130"/>
      <c r="AR8" s="131"/>
      <c r="AS8" s="130"/>
      <c r="AT8" s="131"/>
      <c r="AU8" s="130" t="s">
        <v>85</v>
      </c>
      <c r="AV8" s="131"/>
      <c r="AW8" s="139" t="s">
        <v>87</v>
      </c>
      <c r="AX8" s="131"/>
      <c r="AY8" s="130"/>
      <c r="AZ8" s="138"/>
      <c r="BA8" s="130"/>
      <c r="BB8" s="138"/>
      <c r="BC8" s="130"/>
      <c r="BD8" s="138"/>
      <c r="BE8" s="130"/>
      <c r="BF8" s="138"/>
      <c r="BG8" s="130"/>
      <c r="BH8" s="131"/>
    </row>
    <row r="9" spans="1:60">
      <c r="C9" t="s">
        <v>183</v>
      </c>
      <c r="D9" s="143" t="s">
        <v>186</v>
      </c>
      <c r="E9" s="144"/>
      <c r="F9" s="145"/>
      <c r="G9" s="146" t="s">
        <v>312</v>
      </c>
      <c r="H9" s="146"/>
      <c r="I9" s="146"/>
      <c r="J9" s="146"/>
      <c r="K9" s="146"/>
      <c r="L9" s="146"/>
      <c r="M9" s="146"/>
      <c r="N9" s="146"/>
      <c r="O9" s="146" t="s">
        <v>313</v>
      </c>
      <c r="P9" s="146"/>
      <c r="Q9" s="146"/>
      <c r="R9" s="146"/>
      <c r="S9" s="146"/>
      <c r="T9" s="146"/>
      <c r="U9" s="146"/>
      <c r="V9" s="146"/>
      <c r="W9" s="146" t="s">
        <v>187</v>
      </c>
      <c r="X9" s="146"/>
      <c r="Y9" s="146"/>
      <c r="Z9" s="146"/>
      <c r="AA9" s="146"/>
      <c r="AB9" s="146"/>
      <c r="AC9" s="146"/>
      <c r="AD9" s="146"/>
    </row>
    <row r="10" spans="1:60">
      <c r="D10" s="147">
        <v>1</v>
      </c>
      <c r="E10" s="148"/>
      <c r="F10" s="149"/>
      <c r="G10" s="150">
        <v>1234567</v>
      </c>
      <c r="H10" s="151"/>
      <c r="I10" s="151"/>
      <c r="J10" s="151"/>
      <c r="K10" s="151"/>
      <c r="L10" s="151"/>
      <c r="M10" s="151"/>
      <c r="N10" s="152"/>
      <c r="O10" s="153">
        <v>45950</v>
      </c>
      <c r="P10" s="154"/>
      <c r="Q10" s="154"/>
      <c r="R10" s="154"/>
      <c r="S10" s="154"/>
      <c r="T10" s="154"/>
      <c r="U10" s="154"/>
      <c r="V10" s="155"/>
      <c r="W10" s="150">
        <v>500</v>
      </c>
      <c r="X10" s="151"/>
      <c r="Y10" s="151"/>
      <c r="Z10" s="151"/>
      <c r="AA10" s="151"/>
      <c r="AB10" s="151"/>
      <c r="AC10" s="151"/>
      <c r="AD10" s="152"/>
    </row>
    <row r="11" spans="1:60">
      <c r="D11" s="147">
        <v>2</v>
      </c>
      <c r="E11" s="148"/>
      <c r="F11" s="149"/>
      <c r="G11" s="150">
        <v>1234567</v>
      </c>
      <c r="H11" s="151"/>
      <c r="I11" s="151"/>
      <c r="J11" s="151"/>
      <c r="K11" s="151"/>
      <c r="L11" s="151"/>
      <c r="M11" s="151"/>
      <c r="N11" s="152"/>
      <c r="O11" s="153">
        <v>45950</v>
      </c>
      <c r="P11" s="154"/>
      <c r="Q11" s="154"/>
      <c r="R11" s="154"/>
      <c r="S11" s="154"/>
      <c r="T11" s="154"/>
      <c r="U11" s="154"/>
      <c r="V11" s="155"/>
      <c r="W11" s="150">
        <v>500</v>
      </c>
      <c r="X11" s="151"/>
      <c r="Y11" s="151"/>
      <c r="Z11" s="151"/>
      <c r="AA11" s="151"/>
      <c r="AB11" s="151"/>
      <c r="AC11" s="151"/>
      <c r="AD11" s="152"/>
    </row>
    <row r="12" spans="1:60">
      <c r="D12" s="147">
        <v>3</v>
      </c>
      <c r="E12" s="148"/>
      <c r="F12" s="149"/>
      <c r="G12" s="150">
        <v>1234567</v>
      </c>
      <c r="H12" s="151"/>
      <c r="I12" s="151"/>
      <c r="J12" s="151"/>
      <c r="K12" s="151"/>
      <c r="L12" s="151"/>
      <c r="M12" s="151"/>
      <c r="N12" s="152"/>
      <c r="O12" s="153">
        <v>45950</v>
      </c>
      <c r="P12" s="154"/>
      <c r="Q12" s="154"/>
      <c r="R12" s="154"/>
      <c r="S12" s="154"/>
      <c r="T12" s="154"/>
      <c r="U12" s="154"/>
      <c r="V12" s="155"/>
      <c r="W12" s="150">
        <v>500</v>
      </c>
      <c r="X12" s="151"/>
      <c r="Y12" s="151"/>
      <c r="Z12" s="151"/>
      <c r="AA12" s="151"/>
      <c r="AB12" s="151"/>
      <c r="AC12" s="151"/>
      <c r="AD12" s="152"/>
    </row>
    <row r="13" spans="1:60">
      <c r="D13" s="147">
        <v>4</v>
      </c>
      <c r="E13" s="148"/>
      <c r="F13" s="149"/>
      <c r="G13" s="150">
        <v>2345678</v>
      </c>
      <c r="H13" s="151"/>
      <c r="I13" s="151"/>
      <c r="J13" s="151"/>
      <c r="K13" s="151"/>
      <c r="L13" s="151"/>
      <c r="M13" s="151"/>
      <c r="N13" s="152"/>
      <c r="O13" s="153">
        <v>46331</v>
      </c>
      <c r="P13" s="154"/>
      <c r="Q13" s="154"/>
      <c r="R13" s="154"/>
      <c r="S13" s="154"/>
      <c r="T13" s="154"/>
      <c r="U13" s="154"/>
      <c r="V13" s="155"/>
      <c r="W13" s="150">
        <v>500</v>
      </c>
      <c r="X13" s="151"/>
      <c r="Y13" s="151"/>
      <c r="Z13" s="151"/>
      <c r="AA13" s="151"/>
      <c r="AB13" s="151"/>
      <c r="AC13" s="151"/>
      <c r="AD13" s="152"/>
    </row>
    <row r="14" spans="1:60">
      <c r="D14" s="147">
        <v>5</v>
      </c>
      <c r="E14" s="148"/>
      <c r="F14" s="149"/>
      <c r="G14" s="150">
        <v>2345678</v>
      </c>
      <c r="H14" s="151"/>
      <c r="I14" s="151"/>
      <c r="J14" s="151"/>
      <c r="K14" s="151"/>
      <c r="L14" s="151"/>
      <c r="M14" s="151"/>
      <c r="N14" s="152"/>
      <c r="O14" s="153">
        <v>46331</v>
      </c>
      <c r="P14" s="154"/>
      <c r="Q14" s="154"/>
      <c r="R14" s="154"/>
      <c r="S14" s="154"/>
      <c r="T14" s="154"/>
      <c r="U14" s="154"/>
      <c r="V14" s="155"/>
      <c r="W14" s="150">
        <v>500</v>
      </c>
      <c r="X14" s="151"/>
      <c r="Y14" s="151"/>
      <c r="Z14" s="151"/>
      <c r="AA14" s="151"/>
      <c r="AB14" s="151"/>
      <c r="AC14" s="151"/>
      <c r="AD14" s="152"/>
    </row>
    <row r="15" spans="1:60">
      <c r="D15" s="147">
        <v>6</v>
      </c>
      <c r="E15" s="148"/>
      <c r="F15" s="149"/>
      <c r="G15" s="150">
        <v>2345678</v>
      </c>
      <c r="H15" s="151"/>
      <c r="I15" s="151"/>
      <c r="J15" s="151"/>
      <c r="K15" s="151"/>
      <c r="L15" s="151"/>
      <c r="M15" s="151"/>
      <c r="N15" s="152"/>
      <c r="O15" s="153">
        <v>46331</v>
      </c>
      <c r="P15" s="154"/>
      <c r="Q15" s="154"/>
      <c r="R15" s="154"/>
      <c r="S15" s="154"/>
      <c r="T15" s="154"/>
      <c r="U15" s="154"/>
      <c r="V15" s="155"/>
      <c r="W15" s="150">
        <v>500</v>
      </c>
      <c r="X15" s="151"/>
      <c r="Y15" s="151"/>
      <c r="Z15" s="151"/>
      <c r="AA15" s="151"/>
      <c r="AB15" s="151"/>
      <c r="AC15" s="151"/>
      <c r="AD15" s="152"/>
    </row>
    <row r="16" spans="1:60">
      <c r="D16" s="147">
        <v>7</v>
      </c>
      <c r="E16" s="148"/>
      <c r="F16" s="149"/>
      <c r="G16" s="150">
        <v>2345678</v>
      </c>
      <c r="H16" s="151"/>
      <c r="I16" s="151"/>
      <c r="J16" s="151"/>
      <c r="K16" s="151"/>
      <c r="L16" s="151"/>
      <c r="M16" s="151"/>
      <c r="N16" s="152"/>
      <c r="O16" s="153">
        <v>46331</v>
      </c>
      <c r="P16" s="154"/>
      <c r="Q16" s="154"/>
      <c r="R16" s="154"/>
      <c r="S16" s="154"/>
      <c r="T16" s="154"/>
      <c r="U16" s="154"/>
      <c r="V16" s="155"/>
      <c r="W16" s="150">
        <v>500</v>
      </c>
      <c r="X16" s="151"/>
      <c r="Y16" s="151"/>
      <c r="Z16" s="151"/>
      <c r="AA16" s="151"/>
      <c r="AB16" s="151"/>
      <c r="AC16" s="151"/>
      <c r="AD16" s="152"/>
    </row>
    <row r="17" spans="2:30">
      <c r="D17" s="147">
        <v>8</v>
      </c>
      <c r="E17" s="148"/>
      <c r="F17" s="149"/>
      <c r="G17" s="150">
        <v>2345678</v>
      </c>
      <c r="H17" s="151"/>
      <c r="I17" s="151"/>
      <c r="J17" s="151"/>
      <c r="K17" s="151"/>
      <c r="L17" s="151"/>
      <c r="M17" s="151"/>
      <c r="N17" s="152"/>
      <c r="O17" s="153">
        <v>46331</v>
      </c>
      <c r="P17" s="154"/>
      <c r="Q17" s="154"/>
      <c r="R17" s="154"/>
      <c r="S17" s="154"/>
      <c r="T17" s="154"/>
      <c r="U17" s="154"/>
      <c r="V17" s="155"/>
      <c r="W17" s="150">
        <v>500</v>
      </c>
      <c r="X17" s="151"/>
      <c r="Y17" s="151"/>
      <c r="Z17" s="151"/>
      <c r="AA17" s="151"/>
      <c r="AB17" s="151"/>
      <c r="AC17" s="151"/>
      <c r="AD17" s="152"/>
    </row>
    <row r="20" spans="2:30">
      <c r="B20" t="s">
        <v>220</v>
      </c>
    </row>
  </sheetData>
  <mergeCells count="82">
    <mergeCell ref="D17:F17"/>
    <mergeCell ref="G17:N17"/>
    <mergeCell ref="O17:V17"/>
    <mergeCell ref="W17:AD17"/>
    <mergeCell ref="D15:F15"/>
    <mergeCell ref="G15:N15"/>
    <mergeCell ref="O15:V15"/>
    <mergeCell ref="W15:AD15"/>
    <mergeCell ref="D16:F16"/>
    <mergeCell ref="G16:N16"/>
    <mergeCell ref="O16:V16"/>
    <mergeCell ref="W16:AD16"/>
    <mergeCell ref="D13:F13"/>
    <mergeCell ref="G13:N13"/>
    <mergeCell ref="O13:V13"/>
    <mergeCell ref="W13:AD13"/>
    <mergeCell ref="D14:F14"/>
    <mergeCell ref="G14:N14"/>
    <mergeCell ref="O14:V14"/>
    <mergeCell ref="W14:AD14"/>
    <mergeCell ref="D11:F11"/>
    <mergeCell ref="G11:N11"/>
    <mergeCell ref="O11:V11"/>
    <mergeCell ref="W11:AD11"/>
    <mergeCell ref="D12:F12"/>
    <mergeCell ref="G12:N12"/>
    <mergeCell ref="O12:V12"/>
    <mergeCell ref="W12:AD12"/>
    <mergeCell ref="D9:F9"/>
    <mergeCell ref="G9:N9"/>
    <mergeCell ref="O9:V9"/>
    <mergeCell ref="W9:AD9"/>
    <mergeCell ref="D10:F10"/>
    <mergeCell ref="G10:N10"/>
    <mergeCell ref="O10:V10"/>
    <mergeCell ref="W10:AD10"/>
    <mergeCell ref="B8:D8"/>
    <mergeCell ref="E8:G8"/>
    <mergeCell ref="H8:J8"/>
    <mergeCell ref="K8:N8"/>
    <mergeCell ref="O8:R8"/>
    <mergeCell ref="S8:V8"/>
    <mergeCell ref="W8:Y8"/>
    <mergeCell ref="Z8:AA8"/>
    <mergeCell ref="BE8:BF8"/>
    <mergeCell ref="BG8:BH8"/>
    <mergeCell ref="AS8:AT8"/>
    <mergeCell ref="AU8:AV8"/>
    <mergeCell ref="AW8:AX8"/>
    <mergeCell ref="AY8:AZ8"/>
    <mergeCell ref="BA8:BB8"/>
    <mergeCell ref="BC8:BD8"/>
    <mergeCell ref="AH8:AJ8"/>
    <mergeCell ref="AK8:AL8"/>
    <mergeCell ref="AM8:AN8"/>
    <mergeCell ref="AO8:AP8"/>
    <mergeCell ref="AQ8:AR8"/>
    <mergeCell ref="AY7:AZ7"/>
    <mergeCell ref="BA7:BB7"/>
    <mergeCell ref="BC7:BD7"/>
    <mergeCell ref="BE7:BF7"/>
    <mergeCell ref="BG7:BH7"/>
    <mergeCell ref="AW7:AX7"/>
    <mergeCell ref="AH7:AJ7"/>
    <mergeCell ref="AK7:AL7"/>
    <mergeCell ref="AB8:AC8"/>
    <mergeCell ref="AD8:AG8"/>
    <mergeCell ref="AM7:AN7"/>
    <mergeCell ref="AO7:AP7"/>
    <mergeCell ref="AQ7:AR7"/>
    <mergeCell ref="AS7:AT7"/>
    <mergeCell ref="AU7:AV7"/>
    <mergeCell ref="W7:Y7"/>
    <mergeCell ref="Z7:AA7"/>
    <mergeCell ref="AB7:AC7"/>
    <mergeCell ref="AD7:AG7"/>
    <mergeCell ref="B7:D7"/>
    <mergeCell ref="E7:G7"/>
    <mergeCell ref="H7:J7"/>
    <mergeCell ref="K7:N7"/>
    <mergeCell ref="O7:R7"/>
    <mergeCell ref="S7:V7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3:M39"/>
  <sheetViews>
    <sheetView showGridLines="0" workbookViewId="0">
      <selection activeCell="K4" sqref="K4"/>
    </sheetView>
  </sheetViews>
  <sheetFormatPr defaultColWidth="8.85546875" defaultRowHeight="12"/>
  <cols>
    <col min="1" max="1" width="8.42578125" style="72" bestFit="1" customWidth="1"/>
    <col min="2" max="2" width="9" style="72" bestFit="1" customWidth="1"/>
    <col min="3" max="3" width="12.7109375" style="72" customWidth="1"/>
    <col min="4" max="4" width="11.140625" style="72" customWidth="1"/>
    <col min="5" max="5" width="13.5703125" style="72" customWidth="1"/>
    <col min="6" max="6" width="16" style="72" customWidth="1"/>
    <col min="7" max="7" width="13.140625" style="72" customWidth="1"/>
    <col min="8" max="8" width="18.5703125" style="72" customWidth="1"/>
    <col min="9" max="9" width="12.140625" style="72" customWidth="1"/>
    <col min="10" max="10" width="8.42578125" style="72" bestFit="1" customWidth="1"/>
    <col min="11" max="11" width="8" style="72" bestFit="1" customWidth="1"/>
    <col min="12" max="12" width="17.85546875" style="72" customWidth="1"/>
    <col min="13" max="13" width="15.85546875" style="72" customWidth="1"/>
    <col min="14" max="16384" width="8.85546875" style="72"/>
  </cols>
  <sheetData>
    <row r="3" spans="1:13">
      <c r="A3" s="72" t="s">
        <v>221</v>
      </c>
    </row>
    <row r="4" spans="1:13" s="105" customFormat="1" ht="42.75" customHeight="1">
      <c r="A4" s="104" t="s">
        <v>222</v>
      </c>
      <c r="B4" s="104" t="s">
        <v>223</v>
      </c>
      <c r="C4" s="104" t="s">
        <v>201</v>
      </c>
      <c r="D4" s="104" t="s">
        <v>224</v>
      </c>
      <c r="E4" s="104" t="s">
        <v>225</v>
      </c>
      <c r="F4" s="104" t="s">
        <v>226</v>
      </c>
      <c r="G4" s="104" t="s">
        <v>227</v>
      </c>
      <c r="H4" s="104" t="s">
        <v>203</v>
      </c>
      <c r="I4" s="104" t="s">
        <v>228</v>
      </c>
      <c r="J4" s="104" t="s">
        <v>229</v>
      </c>
      <c r="K4" s="104" t="s">
        <v>230</v>
      </c>
      <c r="L4" s="104" t="s">
        <v>231</v>
      </c>
      <c r="M4" s="104" t="s">
        <v>232</v>
      </c>
    </row>
    <row r="5" spans="1:13">
      <c r="A5" s="76">
        <v>671555</v>
      </c>
      <c r="B5" s="77">
        <v>45996</v>
      </c>
      <c r="C5" s="77">
        <v>46001</v>
      </c>
      <c r="D5" s="73" t="s">
        <v>129</v>
      </c>
      <c r="E5" s="73" t="s">
        <v>235</v>
      </c>
      <c r="F5" s="73" t="s">
        <v>168</v>
      </c>
      <c r="G5" s="73" t="s">
        <v>169</v>
      </c>
      <c r="H5" s="73" t="s">
        <v>169</v>
      </c>
      <c r="I5" s="78">
        <v>2000</v>
      </c>
      <c r="J5" s="73" t="s">
        <v>130</v>
      </c>
      <c r="K5" s="73" t="s">
        <v>131</v>
      </c>
      <c r="L5" s="73" t="s">
        <v>236</v>
      </c>
      <c r="M5" s="73" t="s">
        <v>132</v>
      </c>
    </row>
    <row r="6" spans="1:13">
      <c r="A6" s="76">
        <v>671789</v>
      </c>
      <c r="B6" s="77">
        <v>46000</v>
      </c>
      <c r="C6" s="77">
        <v>46001</v>
      </c>
      <c r="D6" s="73" t="s">
        <v>122</v>
      </c>
      <c r="E6" s="73" t="s">
        <v>167</v>
      </c>
      <c r="F6" s="73" t="s">
        <v>153</v>
      </c>
      <c r="G6" s="73" t="s">
        <v>170</v>
      </c>
      <c r="H6" s="73" t="s">
        <v>169</v>
      </c>
      <c r="I6" s="78">
        <v>2000</v>
      </c>
      <c r="J6" s="73" t="s">
        <v>130</v>
      </c>
      <c r="K6" s="73" t="s">
        <v>131</v>
      </c>
      <c r="L6" s="73" t="s">
        <v>236</v>
      </c>
      <c r="M6" s="73" t="s">
        <v>132</v>
      </c>
    </row>
    <row r="7" spans="1:13">
      <c r="A7" s="76">
        <v>671802</v>
      </c>
      <c r="B7" s="77">
        <v>46000</v>
      </c>
      <c r="C7" s="77">
        <v>46001</v>
      </c>
      <c r="D7" s="73" t="s">
        <v>93</v>
      </c>
      <c r="E7" s="73" t="s">
        <v>167</v>
      </c>
      <c r="F7" s="73" t="s">
        <v>154</v>
      </c>
      <c r="G7" s="73" t="s">
        <v>171</v>
      </c>
      <c r="H7" s="73" t="s">
        <v>169</v>
      </c>
      <c r="I7" s="78">
        <v>3500</v>
      </c>
      <c r="J7" s="73" t="s">
        <v>130</v>
      </c>
      <c r="K7" s="73" t="s">
        <v>131</v>
      </c>
      <c r="L7" s="73" t="s">
        <v>236</v>
      </c>
      <c r="M7" s="73" t="s">
        <v>132</v>
      </c>
    </row>
    <row r="8" spans="1:13">
      <c r="A8" s="76">
        <v>671834</v>
      </c>
      <c r="B8" s="77">
        <v>46000</v>
      </c>
      <c r="C8" s="77">
        <v>46001</v>
      </c>
      <c r="D8" s="73" t="s">
        <v>133</v>
      </c>
      <c r="E8" s="73" t="s">
        <v>167</v>
      </c>
      <c r="F8" s="73" t="s">
        <v>155</v>
      </c>
      <c r="G8" s="73" t="s">
        <v>172</v>
      </c>
      <c r="H8" s="73" t="s">
        <v>169</v>
      </c>
      <c r="I8" s="78">
        <v>2000</v>
      </c>
      <c r="J8" s="73" t="s">
        <v>130</v>
      </c>
      <c r="K8" s="73" t="s">
        <v>131</v>
      </c>
      <c r="L8" s="73" t="s">
        <v>236</v>
      </c>
      <c r="M8" s="73" t="s">
        <v>132</v>
      </c>
    </row>
    <row r="9" spans="1:13">
      <c r="A9" s="76">
        <v>671955</v>
      </c>
      <c r="B9" s="77">
        <v>46001</v>
      </c>
      <c r="C9" s="77">
        <v>46001</v>
      </c>
      <c r="D9" s="73" t="s">
        <v>134</v>
      </c>
      <c r="E9" s="73" t="s">
        <v>167</v>
      </c>
      <c r="F9" s="73" t="s">
        <v>156</v>
      </c>
      <c r="G9" s="73" t="s">
        <v>173</v>
      </c>
      <c r="H9" s="73" t="s">
        <v>169</v>
      </c>
      <c r="I9" s="78">
        <v>500</v>
      </c>
      <c r="J9" s="73" t="s">
        <v>130</v>
      </c>
      <c r="K9" s="73" t="s">
        <v>131</v>
      </c>
      <c r="L9" s="73" t="s">
        <v>236</v>
      </c>
      <c r="M9" s="73" t="s">
        <v>132</v>
      </c>
    </row>
    <row r="10" spans="1:13">
      <c r="A10" s="76">
        <v>671511</v>
      </c>
      <c r="B10" s="77">
        <v>45996</v>
      </c>
      <c r="C10" s="77">
        <v>46001</v>
      </c>
      <c r="D10" s="73" t="s">
        <v>126</v>
      </c>
      <c r="E10" s="73" t="s">
        <v>167</v>
      </c>
      <c r="F10" s="73" t="s">
        <v>157</v>
      </c>
      <c r="G10" s="73" t="s">
        <v>174</v>
      </c>
      <c r="H10" s="73" t="s">
        <v>169</v>
      </c>
      <c r="I10" s="78">
        <v>9000</v>
      </c>
      <c r="J10" s="73" t="s">
        <v>130</v>
      </c>
      <c r="K10" s="73" t="s">
        <v>131</v>
      </c>
      <c r="L10" s="73" t="s">
        <v>236</v>
      </c>
      <c r="M10" s="73" t="s">
        <v>132</v>
      </c>
    </row>
    <row r="11" spans="1:13">
      <c r="A11" s="76">
        <v>671776</v>
      </c>
      <c r="B11" s="77">
        <v>46000</v>
      </c>
      <c r="C11" s="77">
        <v>46001</v>
      </c>
      <c r="D11" s="73" t="s">
        <v>125</v>
      </c>
      <c r="E11" s="73" t="s">
        <v>167</v>
      </c>
      <c r="F11" s="73" t="s">
        <v>158</v>
      </c>
      <c r="G11" s="73" t="s">
        <v>175</v>
      </c>
      <c r="H11" s="73" t="s">
        <v>169</v>
      </c>
      <c r="I11" s="78">
        <v>3000</v>
      </c>
      <c r="J11" s="73" t="s">
        <v>130</v>
      </c>
      <c r="K11" s="73" t="s">
        <v>131</v>
      </c>
      <c r="L11" s="73" t="s">
        <v>236</v>
      </c>
      <c r="M11" s="73" t="s">
        <v>132</v>
      </c>
    </row>
    <row r="12" spans="1:13">
      <c r="A12" s="76">
        <v>671789</v>
      </c>
      <c r="B12" s="77">
        <v>46000</v>
      </c>
      <c r="C12" s="77">
        <v>46001</v>
      </c>
      <c r="D12" s="73" t="s">
        <v>122</v>
      </c>
      <c r="E12" s="73" t="s">
        <v>167</v>
      </c>
      <c r="F12" s="73" t="s">
        <v>159</v>
      </c>
      <c r="G12" s="73" t="s">
        <v>176</v>
      </c>
      <c r="H12" s="73" t="s">
        <v>169</v>
      </c>
      <c r="I12" s="78">
        <v>2000</v>
      </c>
      <c r="J12" s="73" t="s">
        <v>130</v>
      </c>
      <c r="K12" s="73" t="s">
        <v>131</v>
      </c>
      <c r="L12" s="73" t="s">
        <v>236</v>
      </c>
      <c r="M12" s="73" t="s">
        <v>132</v>
      </c>
    </row>
    <row r="13" spans="1:13">
      <c r="A13" s="76">
        <v>671811</v>
      </c>
      <c r="B13" s="77">
        <v>46000</v>
      </c>
      <c r="C13" s="77">
        <v>46001</v>
      </c>
      <c r="D13" s="73" t="s">
        <v>123</v>
      </c>
      <c r="E13" s="73" t="s">
        <v>167</v>
      </c>
      <c r="F13" s="73" t="s">
        <v>160</v>
      </c>
      <c r="G13" s="73" t="s">
        <v>177</v>
      </c>
      <c r="H13" s="73" t="s">
        <v>169</v>
      </c>
      <c r="I13" s="78">
        <v>4000</v>
      </c>
      <c r="J13" s="73" t="s">
        <v>130</v>
      </c>
      <c r="K13" s="73" t="s">
        <v>131</v>
      </c>
      <c r="L13" s="73" t="s">
        <v>236</v>
      </c>
      <c r="M13" s="73" t="s">
        <v>132</v>
      </c>
    </row>
    <row r="14" spans="1:13">
      <c r="A14" s="76">
        <v>671839</v>
      </c>
      <c r="B14" s="77">
        <v>46000</v>
      </c>
      <c r="C14" s="77">
        <v>46001</v>
      </c>
      <c r="D14" s="73" t="s">
        <v>124</v>
      </c>
      <c r="E14" s="73" t="s">
        <v>167</v>
      </c>
      <c r="F14" s="73" t="s">
        <v>161</v>
      </c>
      <c r="G14" s="73" t="s">
        <v>178</v>
      </c>
      <c r="H14" s="73" t="s">
        <v>169</v>
      </c>
      <c r="I14" s="78">
        <v>500</v>
      </c>
      <c r="J14" s="73" t="s">
        <v>130</v>
      </c>
      <c r="K14" s="73" t="s">
        <v>131</v>
      </c>
      <c r="L14" s="73" t="s">
        <v>236</v>
      </c>
      <c r="M14" s="73" t="s">
        <v>132</v>
      </c>
    </row>
    <row r="15" spans="1:13">
      <c r="A15" s="76">
        <v>671639</v>
      </c>
      <c r="B15" s="77">
        <v>45999</v>
      </c>
      <c r="C15" s="77">
        <v>46001</v>
      </c>
      <c r="D15" s="73" t="s">
        <v>135</v>
      </c>
      <c r="E15" s="73" t="s">
        <v>167</v>
      </c>
      <c r="F15" s="73" t="s">
        <v>162</v>
      </c>
      <c r="G15" s="73" t="s">
        <v>179</v>
      </c>
      <c r="H15" s="73" t="s">
        <v>169</v>
      </c>
      <c r="I15" s="78">
        <v>1000</v>
      </c>
      <c r="J15" s="73" t="s">
        <v>130</v>
      </c>
      <c r="K15" s="73" t="s">
        <v>131</v>
      </c>
      <c r="L15" s="73" t="s">
        <v>236</v>
      </c>
      <c r="M15" s="73" t="s">
        <v>132</v>
      </c>
    </row>
    <row r="16" spans="1:13">
      <c r="A16" s="76">
        <v>671676</v>
      </c>
      <c r="B16" s="77">
        <v>45999</v>
      </c>
      <c r="C16" s="77">
        <v>46001</v>
      </c>
      <c r="D16" s="73" t="s">
        <v>94</v>
      </c>
      <c r="E16" s="73" t="s">
        <v>167</v>
      </c>
      <c r="F16" s="73" t="s">
        <v>163</v>
      </c>
      <c r="G16" s="73" t="s">
        <v>180</v>
      </c>
      <c r="H16" s="73" t="s">
        <v>169</v>
      </c>
      <c r="I16" s="78">
        <v>1000</v>
      </c>
      <c r="J16" s="73" t="s">
        <v>130</v>
      </c>
      <c r="K16" s="73" t="s">
        <v>131</v>
      </c>
      <c r="L16" s="73" t="s">
        <v>236</v>
      </c>
      <c r="M16" s="73" t="s">
        <v>132</v>
      </c>
    </row>
    <row r="17" spans="1:13">
      <c r="A17" s="76">
        <v>671723</v>
      </c>
      <c r="B17" s="77">
        <v>45999</v>
      </c>
      <c r="C17" s="77">
        <v>46001</v>
      </c>
      <c r="D17" s="73" t="s">
        <v>136</v>
      </c>
      <c r="E17" s="73" t="s">
        <v>167</v>
      </c>
      <c r="F17" s="73" t="s">
        <v>164</v>
      </c>
      <c r="G17" s="73" t="s">
        <v>181</v>
      </c>
      <c r="H17" s="73" t="s">
        <v>169</v>
      </c>
      <c r="I17" s="78">
        <v>500</v>
      </c>
      <c r="J17" s="73" t="s">
        <v>130</v>
      </c>
      <c r="K17" s="73" t="s">
        <v>137</v>
      </c>
      <c r="L17" s="73" t="s">
        <v>237</v>
      </c>
      <c r="M17" s="73" t="s">
        <v>132</v>
      </c>
    </row>
    <row r="18" spans="1:13">
      <c r="A18" s="76">
        <v>671811</v>
      </c>
      <c r="B18" s="77">
        <v>46000</v>
      </c>
      <c r="C18" s="77">
        <v>46001</v>
      </c>
      <c r="D18" s="73" t="s">
        <v>123</v>
      </c>
      <c r="E18" s="73" t="s">
        <v>234</v>
      </c>
      <c r="F18" s="73" t="s">
        <v>165</v>
      </c>
      <c r="G18" s="73" t="s">
        <v>182</v>
      </c>
      <c r="H18" s="73" t="s">
        <v>169</v>
      </c>
      <c r="I18" s="78">
        <v>500</v>
      </c>
      <c r="J18" s="73" t="s">
        <v>130</v>
      </c>
      <c r="K18" s="73" t="s">
        <v>131</v>
      </c>
      <c r="L18" s="73" t="s">
        <v>236</v>
      </c>
      <c r="M18" s="73" t="s">
        <v>132</v>
      </c>
    </row>
    <row r="20" spans="1:13">
      <c r="A20" s="72" t="s">
        <v>233</v>
      </c>
    </row>
    <row r="21" spans="1:13" s="107" customFormat="1" ht="36">
      <c r="A21" s="104" t="s">
        <v>222</v>
      </c>
      <c r="B21" s="106" t="s">
        <v>238</v>
      </c>
      <c r="C21" s="106" t="s">
        <v>239</v>
      </c>
      <c r="D21" s="106" t="s">
        <v>240</v>
      </c>
      <c r="E21" s="106" t="s">
        <v>241</v>
      </c>
      <c r="F21" s="106" t="s">
        <v>229</v>
      </c>
      <c r="G21" s="106" t="s">
        <v>230</v>
      </c>
      <c r="H21" s="106" t="s">
        <v>242</v>
      </c>
    </row>
    <row r="22" spans="1:13">
      <c r="A22" s="76">
        <v>671555</v>
      </c>
      <c r="B22" s="81">
        <v>1</v>
      </c>
      <c r="C22" s="78">
        <v>1234567</v>
      </c>
      <c r="D22" s="73" t="s">
        <v>191</v>
      </c>
      <c r="E22" s="78">
        <v>500</v>
      </c>
      <c r="F22" s="73" t="s">
        <v>130</v>
      </c>
      <c r="G22" s="73" t="s">
        <v>131</v>
      </c>
      <c r="H22" s="73" t="s">
        <v>236</v>
      </c>
    </row>
    <row r="23" spans="1:13">
      <c r="A23" s="76">
        <v>671555</v>
      </c>
      <c r="B23" s="81">
        <v>2</v>
      </c>
      <c r="C23" s="78">
        <v>1234567</v>
      </c>
      <c r="D23" s="73" t="s">
        <v>191</v>
      </c>
      <c r="E23" s="78">
        <v>500</v>
      </c>
      <c r="F23" s="73" t="s">
        <v>130</v>
      </c>
      <c r="G23" s="73" t="s">
        <v>131</v>
      </c>
      <c r="H23" s="73" t="s">
        <v>236</v>
      </c>
    </row>
    <row r="24" spans="1:13">
      <c r="A24" s="76">
        <v>671555</v>
      </c>
      <c r="B24" s="81">
        <v>3</v>
      </c>
      <c r="C24" s="78">
        <v>1234567</v>
      </c>
      <c r="D24" s="73" t="s">
        <v>191</v>
      </c>
      <c r="E24" s="78">
        <v>500</v>
      </c>
      <c r="F24" s="73" t="s">
        <v>130</v>
      </c>
      <c r="G24" s="73" t="s">
        <v>131</v>
      </c>
      <c r="H24" s="73" t="s">
        <v>236</v>
      </c>
    </row>
    <row r="25" spans="1:13">
      <c r="A25" s="76">
        <v>671555</v>
      </c>
      <c r="B25" s="81">
        <v>4</v>
      </c>
      <c r="C25" s="78">
        <v>1234567</v>
      </c>
      <c r="D25" s="73" t="s">
        <v>191</v>
      </c>
      <c r="E25" s="78">
        <v>500</v>
      </c>
      <c r="F25" s="73" t="s">
        <v>130</v>
      </c>
      <c r="G25" s="73" t="s">
        <v>131</v>
      </c>
      <c r="H25" s="73" t="s">
        <v>236</v>
      </c>
    </row>
    <row r="26" spans="1:13">
      <c r="A26" s="76">
        <v>671555</v>
      </c>
      <c r="B26" s="81">
        <v>5</v>
      </c>
      <c r="C26" s="78">
        <v>1234567</v>
      </c>
      <c r="D26" s="73" t="s">
        <v>191</v>
      </c>
      <c r="E26" s="78">
        <v>500</v>
      </c>
      <c r="F26" s="73" t="s">
        <v>130</v>
      </c>
      <c r="G26" s="73" t="s">
        <v>131</v>
      </c>
      <c r="H26" s="73" t="s">
        <v>236</v>
      </c>
    </row>
    <row r="27" spans="1:13">
      <c r="A27" s="76">
        <v>671555</v>
      </c>
      <c r="B27" s="81">
        <v>6</v>
      </c>
      <c r="C27" s="78">
        <v>1234567</v>
      </c>
      <c r="D27" s="73" t="s">
        <v>191</v>
      </c>
      <c r="E27" s="78">
        <v>500</v>
      </c>
      <c r="F27" s="73" t="s">
        <v>130</v>
      </c>
      <c r="G27" s="73" t="s">
        <v>131</v>
      </c>
      <c r="H27" s="73" t="s">
        <v>236</v>
      </c>
    </row>
    <row r="28" spans="1:13">
      <c r="A28" s="76">
        <v>671776</v>
      </c>
      <c r="B28" s="81">
        <v>1</v>
      </c>
      <c r="C28" s="78">
        <v>2345678</v>
      </c>
      <c r="D28" s="73" t="s">
        <v>191</v>
      </c>
      <c r="E28" s="78">
        <v>500</v>
      </c>
      <c r="F28" s="73" t="s">
        <v>130</v>
      </c>
      <c r="G28" s="73" t="s">
        <v>131</v>
      </c>
      <c r="H28" s="73" t="s">
        <v>236</v>
      </c>
    </row>
    <row r="29" spans="1:13">
      <c r="A29" s="76">
        <v>671776</v>
      </c>
      <c r="B29" s="81">
        <v>2</v>
      </c>
      <c r="C29" s="78">
        <v>2345678</v>
      </c>
      <c r="D29" s="73" t="s">
        <v>191</v>
      </c>
      <c r="E29" s="78">
        <v>500</v>
      </c>
      <c r="F29" s="73" t="s">
        <v>130</v>
      </c>
      <c r="G29" s="73" t="s">
        <v>131</v>
      </c>
      <c r="H29" s="73" t="s">
        <v>236</v>
      </c>
    </row>
    <row r="30" spans="1:13">
      <c r="A30" s="76">
        <v>671776</v>
      </c>
      <c r="B30" s="81">
        <v>3</v>
      </c>
      <c r="C30" s="78">
        <v>2345678</v>
      </c>
      <c r="D30" s="73" t="s">
        <v>191</v>
      </c>
      <c r="E30" s="78">
        <v>500</v>
      </c>
      <c r="F30" s="73" t="s">
        <v>130</v>
      </c>
      <c r="G30" s="73" t="s">
        <v>131</v>
      </c>
      <c r="H30" s="73" t="s">
        <v>236</v>
      </c>
    </row>
    <row r="31" spans="1:13">
      <c r="A31" s="76">
        <v>671776</v>
      </c>
      <c r="B31" s="81">
        <v>4</v>
      </c>
      <c r="C31" s="78">
        <v>2345678</v>
      </c>
      <c r="D31" s="73" t="s">
        <v>191</v>
      </c>
      <c r="E31" s="78">
        <v>500</v>
      </c>
      <c r="F31" s="73" t="s">
        <v>130</v>
      </c>
      <c r="G31" s="73" t="s">
        <v>131</v>
      </c>
      <c r="H31" s="73" t="s">
        <v>236</v>
      </c>
    </row>
    <row r="32" spans="1:13">
      <c r="A32" s="76">
        <v>671639</v>
      </c>
      <c r="B32" s="81">
        <v>1</v>
      </c>
      <c r="C32" s="78">
        <v>1234567</v>
      </c>
      <c r="D32" s="73" t="s">
        <v>191</v>
      </c>
      <c r="E32" s="78">
        <v>500</v>
      </c>
      <c r="F32" s="73" t="s">
        <v>130</v>
      </c>
      <c r="G32" s="73" t="s">
        <v>131</v>
      </c>
      <c r="H32" s="73" t="s">
        <v>236</v>
      </c>
    </row>
    <row r="33" spans="2:2">
      <c r="B33" s="82"/>
    </row>
    <row r="34" spans="2:2">
      <c r="B34" s="82"/>
    </row>
    <row r="35" spans="2:2">
      <c r="B35" s="82"/>
    </row>
    <row r="36" spans="2:2">
      <c r="B36" s="82"/>
    </row>
    <row r="37" spans="2:2">
      <c r="B37" s="82"/>
    </row>
    <row r="38" spans="2:2">
      <c r="B38" s="82"/>
    </row>
    <row r="39" spans="2:2">
      <c r="B39" s="82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B2:BN66"/>
  <sheetViews>
    <sheetView showGridLines="0" tabSelected="1" view="pageBreakPreview" topLeftCell="A25" zoomScale="115" zoomScaleNormal="100" zoomScaleSheetLayoutView="115" workbookViewId="0">
      <selection activeCell="N17" sqref="N17:P18"/>
    </sheetView>
  </sheetViews>
  <sheetFormatPr defaultColWidth="2.5703125" defaultRowHeight="9.9499999999999993" customHeight="1"/>
  <cols>
    <col min="5" max="5" width="6" customWidth="1"/>
    <col min="16" max="16" width="9" customWidth="1"/>
    <col min="31" max="31" width="4.42578125" customWidth="1"/>
  </cols>
  <sheetData>
    <row r="2" spans="2:66" ht="9.75" customHeight="1"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1"/>
    </row>
    <row r="3" spans="2:66" ht="9.9499999999999993" customHeight="1">
      <c r="B3" s="52"/>
      <c r="C3" s="216" t="s">
        <v>243</v>
      </c>
      <c r="D3" s="217"/>
      <c r="E3" s="252"/>
      <c r="F3" s="188"/>
      <c r="G3" s="189"/>
      <c r="H3" s="189"/>
      <c r="I3" s="190"/>
      <c r="J3" s="216" t="s">
        <v>244</v>
      </c>
      <c r="K3" s="217"/>
      <c r="L3" s="217"/>
      <c r="M3" s="188"/>
      <c r="N3" s="189"/>
      <c r="O3" s="189"/>
      <c r="P3" s="190"/>
      <c r="Q3" s="216" t="s">
        <v>315</v>
      </c>
      <c r="R3" s="217"/>
      <c r="S3" s="217"/>
      <c r="T3" s="188"/>
      <c r="U3" s="189"/>
      <c r="V3" s="189"/>
      <c r="W3" s="190"/>
      <c r="AG3" s="53"/>
    </row>
    <row r="4" spans="2:66" ht="31.5" customHeight="1">
      <c r="B4" s="52"/>
      <c r="C4" s="217"/>
      <c r="D4" s="217"/>
      <c r="E4" s="252"/>
      <c r="F4" s="191"/>
      <c r="G4" s="192"/>
      <c r="H4" s="192"/>
      <c r="I4" s="193"/>
      <c r="J4" s="217"/>
      <c r="K4" s="217"/>
      <c r="L4" s="217"/>
      <c r="M4" s="191"/>
      <c r="N4" s="192"/>
      <c r="O4" s="192"/>
      <c r="P4" s="193"/>
      <c r="Q4" s="217"/>
      <c r="R4" s="217"/>
      <c r="S4" s="217"/>
      <c r="T4" s="191"/>
      <c r="U4" s="192"/>
      <c r="V4" s="192"/>
      <c r="W4" s="193"/>
      <c r="AG4" s="53"/>
    </row>
    <row r="5" spans="2:66" ht="9.9499999999999993" customHeight="1" thickBot="1">
      <c r="B5" s="52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3"/>
      <c r="AK5" s="253" t="s">
        <v>104</v>
      </c>
      <c r="AL5" s="247"/>
      <c r="AM5" s="248"/>
      <c r="AN5" s="246" t="s">
        <v>84</v>
      </c>
      <c r="AO5" s="247"/>
      <c r="AP5" s="248"/>
      <c r="AQ5" s="246" t="s">
        <v>64</v>
      </c>
      <c r="AR5" s="247"/>
      <c r="AS5" s="248"/>
      <c r="AT5" s="246" t="s">
        <v>107</v>
      </c>
      <c r="AU5" s="247"/>
      <c r="AV5" s="247"/>
      <c r="AW5" s="248"/>
      <c r="AX5" s="246" t="s">
        <v>105</v>
      </c>
      <c r="AY5" s="247"/>
      <c r="AZ5" s="247"/>
      <c r="BA5" s="248"/>
      <c r="BB5" s="246" t="s">
        <v>63</v>
      </c>
      <c r="BC5" s="247"/>
      <c r="BD5" s="247"/>
      <c r="BE5" s="247"/>
      <c r="BF5" s="246" t="s">
        <v>106</v>
      </c>
      <c r="BG5" s="247"/>
      <c r="BH5" s="248"/>
      <c r="BI5" s="246" t="s">
        <v>86</v>
      </c>
      <c r="BJ5" s="248"/>
      <c r="BK5" s="246" t="s">
        <v>65</v>
      </c>
      <c r="BL5" s="248"/>
      <c r="BM5" s="246" t="s">
        <v>127</v>
      </c>
      <c r="BN5" s="248"/>
    </row>
    <row r="6" spans="2:66" ht="9.9499999999999993" customHeight="1" thickTop="1">
      <c r="B6" s="52"/>
      <c r="AG6" s="53"/>
      <c r="AK6" s="249"/>
      <c r="AL6" s="250"/>
      <c r="AM6" s="251"/>
      <c r="AN6" s="249"/>
      <c r="AO6" s="250"/>
      <c r="AP6" s="251"/>
      <c r="AQ6" s="249"/>
      <c r="AR6" s="250"/>
      <c r="AS6" s="251"/>
      <c r="AT6" s="249"/>
      <c r="AU6" s="250"/>
      <c r="AV6" s="250"/>
      <c r="AW6" s="251"/>
      <c r="AX6" s="249"/>
      <c r="AY6" s="250"/>
      <c r="AZ6" s="250"/>
      <c r="BA6" s="251"/>
      <c r="BB6" s="249"/>
      <c r="BC6" s="250"/>
      <c r="BD6" s="250"/>
      <c r="BE6" s="250"/>
      <c r="BF6" s="249"/>
      <c r="BG6" s="250"/>
      <c r="BH6" s="251"/>
      <c r="BI6" s="249"/>
      <c r="BJ6" s="251"/>
      <c r="BK6" s="249"/>
      <c r="BL6" s="251"/>
      <c r="BM6" s="249"/>
      <c r="BN6" s="251"/>
    </row>
    <row r="7" spans="2:66" ht="9.9499999999999993" customHeight="1">
      <c r="B7" s="52"/>
      <c r="C7" s="194" t="s">
        <v>245</v>
      </c>
      <c r="D7" s="195"/>
      <c r="E7" s="195"/>
      <c r="F7" s="196"/>
      <c r="G7" s="188"/>
      <c r="H7" s="189"/>
      <c r="I7" s="189"/>
      <c r="J7" s="189"/>
      <c r="K7" s="189"/>
      <c r="L7" s="189"/>
      <c r="M7" s="189"/>
      <c r="N7" s="189"/>
      <c r="O7" s="189"/>
      <c r="P7" s="190"/>
      <c r="R7" s="197" t="s">
        <v>246</v>
      </c>
      <c r="S7" s="198"/>
      <c r="T7" s="198"/>
      <c r="U7" s="199"/>
      <c r="V7" s="188"/>
      <c r="W7" s="189"/>
      <c r="X7" s="189"/>
      <c r="Y7" s="189"/>
      <c r="Z7" s="189"/>
      <c r="AA7" s="189"/>
      <c r="AB7" s="189"/>
      <c r="AC7" s="190"/>
      <c r="AG7" s="53"/>
    </row>
    <row r="8" spans="2:66" ht="28.5" customHeight="1">
      <c r="B8" s="52"/>
      <c r="C8" s="195"/>
      <c r="D8" s="195"/>
      <c r="E8" s="195"/>
      <c r="F8" s="196"/>
      <c r="G8" s="191"/>
      <c r="H8" s="192"/>
      <c r="I8" s="192"/>
      <c r="J8" s="192"/>
      <c r="K8" s="192"/>
      <c r="L8" s="192"/>
      <c r="M8" s="192"/>
      <c r="N8" s="192"/>
      <c r="O8" s="192"/>
      <c r="P8" s="193"/>
      <c r="R8" s="198"/>
      <c r="S8" s="198"/>
      <c r="T8" s="198"/>
      <c r="U8" s="199"/>
      <c r="V8" s="191"/>
      <c r="W8" s="192"/>
      <c r="X8" s="192"/>
      <c r="Y8" s="192"/>
      <c r="Z8" s="192"/>
      <c r="AA8" s="192"/>
      <c r="AB8" s="192"/>
      <c r="AC8" s="193"/>
      <c r="AG8" s="53"/>
    </row>
    <row r="9" spans="2:66" ht="9.9499999999999993" customHeight="1">
      <c r="B9" s="52"/>
      <c r="AG9" s="53"/>
    </row>
    <row r="10" spans="2:66" ht="9.9499999999999993" customHeight="1">
      <c r="B10" s="52"/>
      <c r="C10" s="197" t="s">
        <v>247</v>
      </c>
      <c r="D10" s="198"/>
      <c r="E10" s="198"/>
      <c r="F10" s="199"/>
      <c r="G10" s="188"/>
      <c r="H10" s="189"/>
      <c r="I10" s="189"/>
      <c r="J10" s="189"/>
      <c r="K10" s="189"/>
      <c r="L10" s="189"/>
      <c r="M10" s="189"/>
      <c r="N10" s="190"/>
      <c r="O10" s="216" t="s">
        <v>248</v>
      </c>
      <c r="P10" s="217"/>
      <c r="Q10" s="217"/>
      <c r="R10" s="188"/>
      <c r="S10" s="189"/>
      <c r="T10" s="189"/>
      <c r="U10" s="189"/>
      <c r="V10" s="190"/>
      <c r="W10" s="216" t="s">
        <v>249</v>
      </c>
      <c r="X10" s="217"/>
      <c r="Y10" s="217"/>
      <c r="Z10" s="188"/>
      <c r="AA10" s="189"/>
      <c r="AB10" s="189"/>
      <c r="AC10" s="190"/>
      <c r="AD10" s="243" t="s">
        <v>250</v>
      </c>
      <c r="AE10" s="244"/>
      <c r="AG10" s="53"/>
    </row>
    <row r="11" spans="2:66" ht="22.5" customHeight="1">
      <c r="B11" s="52"/>
      <c r="C11" s="198"/>
      <c r="D11" s="198"/>
      <c r="E11" s="198"/>
      <c r="F11" s="199"/>
      <c r="G11" s="191"/>
      <c r="H11" s="192"/>
      <c r="I11" s="192"/>
      <c r="J11" s="192"/>
      <c r="K11" s="192"/>
      <c r="L11" s="192"/>
      <c r="M11" s="192"/>
      <c r="N11" s="193"/>
      <c r="O11" s="217"/>
      <c r="P11" s="217"/>
      <c r="Q11" s="217"/>
      <c r="R11" s="191"/>
      <c r="S11" s="192"/>
      <c r="T11" s="192"/>
      <c r="U11" s="192"/>
      <c r="V11" s="193"/>
      <c r="W11" s="217"/>
      <c r="X11" s="217"/>
      <c r="Y11" s="217"/>
      <c r="Z11" s="191"/>
      <c r="AA11" s="192"/>
      <c r="AB11" s="192"/>
      <c r="AC11" s="193"/>
      <c r="AD11" s="245"/>
      <c r="AE11" s="244"/>
      <c r="AG11" s="53"/>
    </row>
    <row r="12" spans="2:66" ht="9.9499999999999993" customHeight="1">
      <c r="B12" s="52"/>
      <c r="AG12" s="53"/>
    </row>
    <row r="13" spans="2:66" ht="9.9499999999999993" customHeight="1">
      <c r="B13" s="52"/>
      <c r="AG13" s="53"/>
    </row>
    <row r="14" spans="2:66" ht="9.9499999999999993" customHeight="1">
      <c r="B14" s="52"/>
      <c r="C14" s="194" t="s">
        <v>251</v>
      </c>
      <c r="D14" s="195"/>
      <c r="E14" s="195"/>
      <c r="F14" s="196"/>
      <c r="G14" s="202"/>
      <c r="H14" s="203"/>
      <c r="I14" s="203"/>
      <c r="J14" s="203"/>
      <c r="K14" s="203"/>
      <c r="L14" s="203"/>
      <c r="M14" s="203"/>
      <c r="N14" s="204"/>
      <c r="AG14" s="53"/>
    </row>
    <row r="15" spans="2:66" ht="20.25" customHeight="1">
      <c r="B15" s="52"/>
      <c r="C15" s="195"/>
      <c r="D15" s="195"/>
      <c r="E15" s="195"/>
      <c r="F15" s="196"/>
      <c r="G15" s="205"/>
      <c r="H15" s="206"/>
      <c r="I15" s="206"/>
      <c r="J15" s="206"/>
      <c r="K15" s="206"/>
      <c r="L15" s="206"/>
      <c r="M15" s="206"/>
      <c r="N15" s="207"/>
      <c r="AG15" s="53"/>
    </row>
    <row r="16" spans="2:66" ht="9.9499999999999993" customHeight="1">
      <c r="B16" s="52"/>
      <c r="AG16" s="53"/>
    </row>
    <row r="17" spans="2:33" ht="9.9499999999999993" customHeight="1">
      <c r="B17" s="52"/>
      <c r="C17" s="194" t="s">
        <v>273</v>
      </c>
      <c r="D17" s="195"/>
      <c r="E17" s="195"/>
      <c r="I17" s="202"/>
      <c r="J17" s="203"/>
      <c r="K17" s="204"/>
      <c r="N17" s="194" t="s">
        <v>289</v>
      </c>
      <c r="O17" s="195"/>
      <c r="P17" s="195"/>
      <c r="Q17" s="200" t="s">
        <v>81</v>
      </c>
      <c r="R17" s="200"/>
      <c r="S17" s="201"/>
      <c r="T17" s="202"/>
      <c r="U17" s="203"/>
      <c r="V17" s="204"/>
      <c r="W17" s="208" t="s">
        <v>79</v>
      </c>
      <c r="X17" s="209"/>
      <c r="Z17" s="202"/>
      <c r="AA17" s="203"/>
      <c r="AB17" s="204"/>
      <c r="AC17" s="208" t="s">
        <v>80</v>
      </c>
      <c r="AD17" s="209"/>
      <c r="AG17" s="53"/>
    </row>
    <row r="18" spans="2:33" ht="35.25" customHeight="1">
      <c r="B18" s="52"/>
      <c r="C18" s="195"/>
      <c r="D18" s="195"/>
      <c r="E18" s="195"/>
      <c r="I18" s="205"/>
      <c r="J18" s="206"/>
      <c r="K18" s="207"/>
      <c r="N18" s="195"/>
      <c r="O18" s="195"/>
      <c r="P18" s="195"/>
      <c r="Q18" s="200"/>
      <c r="R18" s="200"/>
      <c r="S18" s="201"/>
      <c r="T18" s="205"/>
      <c r="U18" s="206"/>
      <c r="V18" s="207"/>
      <c r="W18" s="208"/>
      <c r="X18" s="209"/>
      <c r="Z18" s="205"/>
      <c r="AA18" s="206"/>
      <c r="AB18" s="207"/>
      <c r="AC18" s="208"/>
      <c r="AD18" s="209"/>
      <c r="AG18" s="53"/>
    </row>
    <row r="19" spans="2:33" ht="9.9499999999999993" customHeight="1">
      <c r="B19" s="52"/>
      <c r="C19" s="194" t="s">
        <v>276</v>
      </c>
      <c r="D19" s="195"/>
      <c r="E19" s="195"/>
      <c r="F19" s="200" t="s">
        <v>81</v>
      </c>
      <c r="G19" s="200"/>
      <c r="H19" s="201"/>
      <c r="I19" s="202"/>
      <c r="J19" s="203"/>
      <c r="K19" s="204"/>
      <c r="N19" s="194" t="s">
        <v>290</v>
      </c>
      <c r="O19" s="195"/>
      <c r="P19" s="195"/>
      <c r="Q19" s="200" t="s">
        <v>81</v>
      </c>
      <c r="R19" s="200"/>
      <c r="S19" s="201"/>
      <c r="T19" s="202"/>
      <c r="U19" s="203"/>
      <c r="V19" s="204"/>
      <c r="W19" s="208" t="s">
        <v>79</v>
      </c>
      <c r="X19" s="209"/>
      <c r="Z19" s="202"/>
      <c r="AA19" s="203"/>
      <c r="AB19" s="204"/>
      <c r="AC19" s="208" t="s">
        <v>80</v>
      </c>
      <c r="AD19" s="209"/>
      <c r="AG19" s="53"/>
    </row>
    <row r="20" spans="2:33" ht="33.75" customHeight="1">
      <c r="B20" s="52"/>
      <c r="C20" s="195"/>
      <c r="D20" s="195"/>
      <c r="E20" s="195"/>
      <c r="F20" s="200"/>
      <c r="G20" s="200"/>
      <c r="H20" s="201"/>
      <c r="I20" s="205"/>
      <c r="J20" s="206"/>
      <c r="K20" s="207"/>
      <c r="N20" s="195"/>
      <c r="O20" s="195"/>
      <c r="P20" s="195"/>
      <c r="Q20" s="200"/>
      <c r="R20" s="200"/>
      <c r="S20" s="201"/>
      <c r="T20" s="205"/>
      <c r="U20" s="206"/>
      <c r="V20" s="207"/>
      <c r="W20" s="208"/>
      <c r="X20" s="209"/>
      <c r="Z20" s="205"/>
      <c r="AA20" s="206"/>
      <c r="AB20" s="207"/>
      <c r="AC20" s="208"/>
      <c r="AD20" s="209"/>
      <c r="AG20" s="53"/>
    </row>
    <row r="21" spans="2:33" ht="9.9499999999999993" customHeight="1">
      <c r="B21" s="52"/>
      <c r="F21" s="59"/>
      <c r="G21" s="59"/>
      <c r="H21" s="59"/>
      <c r="M21" s="58"/>
      <c r="N21" s="58"/>
      <c r="O21" s="58"/>
      <c r="P21" s="59"/>
      <c r="Q21" s="59"/>
      <c r="R21" s="59"/>
      <c r="S21" s="59"/>
      <c r="T21" s="59"/>
      <c r="U21" s="59"/>
      <c r="V21" s="60"/>
      <c r="W21" s="60"/>
      <c r="Y21" s="59"/>
      <c r="Z21" s="59"/>
      <c r="AA21" s="59"/>
      <c r="AB21" s="60"/>
      <c r="AC21" s="60"/>
      <c r="AG21" s="53"/>
    </row>
    <row r="22" spans="2:33" ht="9.9499999999999993" customHeight="1">
      <c r="B22" s="52"/>
      <c r="C22" s="195" t="s">
        <v>67</v>
      </c>
      <c r="D22" s="195"/>
      <c r="E22" s="195"/>
      <c r="F22" s="200" t="s">
        <v>81</v>
      </c>
      <c r="G22" s="200"/>
      <c r="H22" s="201"/>
      <c r="I22" s="202"/>
      <c r="J22" s="203"/>
      <c r="K22" s="204"/>
      <c r="AG22" s="53"/>
    </row>
    <row r="23" spans="2:33" ht="9.9499999999999993" customHeight="1">
      <c r="B23" s="52"/>
      <c r="C23" s="195"/>
      <c r="D23" s="195"/>
      <c r="E23" s="195"/>
      <c r="F23" s="200"/>
      <c r="G23" s="200"/>
      <c r="H23" s="201"/>
      <c r="I23" s="205"/>
      <c r="J23" s="206"/>
      <c r="K23" s="207"/>
      <c r="X23" s="210" t="s">
        <v>291</v>
      </c>
      <c r="Y23" s="211"/>
      <c r="Z23" s="211"/>
      <c r="AA23" s="212"/>
      <c r="AC23" s="210" t="s">
        <v>292</v>
      </c>
      <c r="AD23" s="211"/>
      <c r="AE23" s="211"/>
      <c r="AF23" s="212"/>
      <c r="AG23" s="53"/>
    </row>
    <row r="24" spans="2:33" ht="25.5" customHeight="1">
      <c r="B24" s="52"/>
      <c r="C24" s="195" t="s">
        <v>68</v>
      </c>
      <c r="D24" s="195"/>
      <c r="E24" s="195"/>
      <c r="F24" s="200" t="s">
        <v>81</v>
      </c>
      <c r="G24" s="200"/>
      <c r="H24" s="201"/>
      <c r="I24" s="202"/>
      <c r="J24" s="203"/>
      <c r="K24" s="204"/>
      <c r="X24" s="213"/>
      <c r="Y24" s="214"/>
      <c r="Z24" s="214"/>
      <c r="AA24" s="215"/>
      <c r="AC24" s="213"/>
      <c r="AD24" s="214"/>
      <c r="AE24" s="214"/>
      <c r="AF24" s="215"/>
      <c r="AG24" s="53"/>
    </row>
    <row r="25" spans="2:33" ht="9.9499999999999993" customHeight="1">
      <c r="B25" s="52"/>
      <c r="C25" s="195"/>
      <c r="D25" s="195"/>
      <c r="E25" s="195"/>
      <c r="F25" s="200"/>
      <c r="G25" s="200"/>
      <c r="H25" s="201"/>
      <c r="I25" s="205"/>
      <c r="J25" s="206"/>
      <c r="K25" s="207"/>
      <c r="AG25" s="53"/>
    </row>
    <row r="26" spans="2:33" ht="9.9499999999999993" customHeight="1">
      <c r="B26" s="52"/>
      <c r="C26" s="195" t="s">
        <v>69</v>
      </c>
      <c r="D26" s="195"/>
      <c r="E26" s="195"/>
      <c r="F26" s="200" t="s">
        <v>81</v>
      </c>
      <c r="G26" s="200"/>
      <c r="H26" s="201"/>
      <c r="I26" s="202"/>
      <c r="J26" s="203"/>
      <c r="K26" s="204"/>
      <c r="N26" s="224" t="s">
        <v>82</v>
      </c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6"/>
      <c r="AG26" s="53"/>
    </row>
    <row r="27" spans="2:33" ht="9.9499999999999993" customHeight="1">
      <c r="B27" s="52"/>
      <c r="C27" s="195"/>
      <c r="D27" s="195"/>
      <c r="E27" s="195"/>
      <c r="F27" s="200"/>
      <c r="G27" s="200"/>
      <c r="H27" s="201"/>
      <c r="I27" s="205"/>
      <c r="J27" s="206"/>
      <c r="K27" s="207"/>
      <c r="N27" s="227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9"/>
      <c r="AG27" s="53"/>
    </row>
    <row r="28" spans="2:33" ht="9.9499999999999993" customHeight="1">
      <c r="B28" s="52"/>
      <c r="C28" s="195" t="s">
        <v>70</v>
      </c>
      <c r="D28" s="195"/>
      <c r="E28" s="195"/>
      <c r="F28" s="200" t="s">
        <v>81</v>
      </c>
      <c r="G28" s="200"/>
      <c r="H28" s="201"/>
      <c r="I28" s="202"/>
      <c r="J28" s="203"/>
      <c r="K28" s="204"/>
      <c r="N28" s="227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9"/>
      <c r="AG28" s="53"/>
    </row>
    <row r="29" spans="2:33" ht="9.9499999999999993" customHeight="1">
      <c r="B29" s="52"/>
      <c r="C29" s="195"/>
      <c r="D29" s="195"/>
      <c r="E29" s="195"/>
      <c r="F29" s="200"/>
      <c r="G29" s="200"/>
      <c r="H29" s="201"/>
      <c r="I29" s="205"/>
      <c r="J29" s="206"/>
      <c r="K29" s="207"/>
      <c r="N29" s="227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9"/>
      <c r="AG29" s="53"/>
    </row>
    <row r="30" spans="2:33" ht="9.9499999999999993" customHeight="1">
      <c r="B30" s="52"/>
      <c r="C30" s="195" t="s">
        <v>71</v>
      </c>
      <c r="D30" s="195"/>
      <c r="E30" s="195"/>
      <c r="F30" s="200" t="s">
        <v>81</v>
      </c>
      <c r="G30" s="200"/>
      <c r="H30" s="201"/>
      <c r="I30" s="202"/>
      <c r="J30" s="203"/>
      <c r="K30" s="204"/>
      <c r="N30" s="227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9"/>
      <c r="AG30" s="53"/>
    </row>
    <row r="31" spans="2:33" ht="9.9499999999999993" customHeight="1">
      <c r="B31" s="52"/>
      <c r="C31" s="195"/>
      <c r="D31" s="195"/>
      <c r="E31" s="195"/>
      <c r="F31" s="200"/>
      <c r="G31" s="200"/>
      <c r="H31" s="201"/>
      <c r="I31" s="205"/>
      <c r="J31" s="206"/>
      <c r="K31" s="207"/>
      <c r="N31" s="227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9"/>
      <c r="AG31" s="53"/>
    </row>
    <row r="32" spans="2:33" ht="9.9499999999999993" customHeight="1">
      <c r="B32" s="52"/>
      <c r="C32" s="195" t="s">
        <v>72</v>
      </c>
      <c r="D32" s="195"/>
      <c r="E32" s="195"/>
      <c r="F32" s="200" t="s">
        <v>81</v>
      </c>
      <c r="G32" s="200"/>
      <c r="H32" s="201"/>
      <c r="I32" s="202"/>
      <c r="J32" s="203"/>
      <c r="K32" s="204"/>
      <c r="N32" s="227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9"/>
      <c r="AG32" s="53"/>
    </row>
    <row r="33" spans="2:33" ht="9.9499999999999993" customHeight="1">
      <c r="B33" s="52"/>
      <c r="C33" s="195"/>
      <c r="D33" s="195"/>
      <c r="E33" s="195"/>
      <c r="F33" s="200"/>
      <c r="G33" s="200"/>
      <c r="H33" s="201"/>
      <c r="I33" s="205"/>
      <c r="J33" s="206"/>
      <c r="K33" s="207"/>
      <c r="N33" s="227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9"/>
      <c r="AG33" s="53"/>
    </row>
    <row r="34" spans="2:33" ht="9.9499999999999993" customHeight="1">
      <c r="B34" s="52"/>
      <c r="C34" s="195" t="s">
        <v>73</v>
      </c>
      <c r="D34" s="195"/>
      <c r="E34" s="195"/>
      <c r="F34" s="200" t="s">
        <v>81</v>
      </c>
      <c r="G34" s="200"/>
      <c r="H34" s="201"/>
      <c r="I34" s="202"/>
      <c r="J34" s="203"/>
      <c r="K34" s="204"/>
      <c r="N34" s="227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9"/>
      <c r="AG34" s="53"/>
    </row>
    <row r="35" spans="2:33" ht="9.9499999999999993" customHeight="1">
      <c r="B35" s="52"/>
      <c r="C35" s="195"/>
      <c r="D35" s="195"/>
      <c r="E35" s="195"/>
      <c r="F35" s="200"/>
      <c r="G35" s="200"/>
      <c r="H35" s="201"/>
      <c r="I35" s="205"/>
      <c r="J35" s="206"/>
      <c r="K35" s="207"/>
      <c r="N35" s="227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9"/>
      <c r="AG35" s="53"/>
    </row>
    <row r="36" spans="2:33" ht="9.9499999999999993" customHeight="1">
      <c r="B36" s="52"/>
      <c r="C36" s="195" t="s">
        <v>74</v>
      </c>
      <c r="D36" s="195"/>
      <c r="E36" s="195"/>
      <c r="F36" s="200" t="s">
        <v>81</v>
      </c>
      <c r="G36" s="200"/>
      <c r="H36" s="201"/>
      <c r="I36" s="202"/>
      <c r="J36" s="203"/>
      <c r="K36" s="204"/>
      <c r="N36" s="227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9"/>
      <c r="AG36" s="53"/>
    </row>
    <row r="37" spans="2:33" ht="9.9499999999999993" customHeight="1">
      <c r="B37" s="52"/>
      <c r="C37" s="195"/>
      <c r="D37" s="195"/>
      <c r="E37" s="195"/>
      <c r="F37" s="200"/>
      <c r="G37" s="200"/>
      <c r="H37" s="201"/>
      <c r="I37" s="205"/>
      <c r="J37" s="206"/>
      <c r="K37" s="207"/>
      <c r="N37" s="227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9"/>
      <c r="AG37" s="53"/>
    </row>
    <row r="38" spans="2:33" ht="9.9499999999999993" customHeight="1">
      <c r="B38" s="52"/>
      <c r="C38" s="195" t="s">
        <v>75</v>
      </c>
      <c r="D38" s="195"/>
      <c r="E38" s="195"/>
      <c r="F38" s="200" t="s">
        <v>81</v>
      </c>
      <c r="G38" s="200"/>
      <c r="H38" s="201"/>
      <c r="I38" s="202"/>
      <c r="J38" s="203"/>
      <c r="K38" s="204"/>
      <c r="N38" s="227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9"/>
      <c r="AG38" s="53"/>
    </row>
    <row r="39" spans="2:33" ht="9.9499999999999993" customHeight="1">
      <c r="B39" s="52"/>
      <c r="C39" s="195"/>
      <c r="D39" s="195"/>
      <c r="E39" s="195"/>
      <c r="F39" s="200"/>
      <c r="G39" s="200"/>
      <c r="H39" s="201"/>
      <c r="I39" s="205"/>
      <c r="J39" s="206"/>
      <c r="K39" s="207"/>
      <c r="N39" s="227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9"/>
      <c r="AG39" s="53"/>
    </row>
    <row r="40" spans="2:33" ht="9.9499999999999993" customHeight="1">
      <c r="B40" s="52"/>
      <c r="C40" s="195" t="s">
        <v>76</v>
      </c>
      <c r="D40" s="195"/>
      <c r="E40" s="195"/>
      <c r="F40" s="200" t="s">
        <v>81</v>
      </c>
      <c r="G40" s="200"/>
      <c r="H40" s="201"/>
      <c r="I40" s="202"/>
      <c r="J40" s="203"/>
      <c r="K40" s="204"/>
      <c r="N40" s="227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9"/>
      <c r="AG40" s="53"/>
    </row>
    <row r="41" spans="2:33" ht="9.9499999999999993" customHeight="1">
      <c r="B41" s="52"/>
      <c r="C41" s="195"/>
      <c r="D41" s="195"/>
      <c r="E41" s="195"/>
      <c r="F41" s="200"/>
      <c r="G41" s="200"/>
      <c r="H41" s="201"/>
      <c r="I41" s="205"/>
      <c r="J41" s="206"/>
      <c r="K41" s="207"/>
      <c r="N41" s="227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9"/>
      <c r="AG41" s="53"/>
    </row>
    <row r="42" spans="2:33" ht="9.9499999999999993" customHeight="1">
      <c r="B42" s="52"/>
      <c r="C42" s="195" t="s">
        <v>77</v>
      </c>
      <c r="D42" s="195"/>
      <c r="E42" s="195"/>
      <c r="F42" s="200" t="s">
        <v>81</v>
      </c>
      <c r="G42" s="200"/>
      <c r="H42" s="201"/>
      <c r="I42" s="202"/>
      <c r="J42" s="203"/>
      <c r="K42" s="204"/>
      <c r="N42" s="227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9"/>
      <c r="AG42" s="53"/>
    </row>
    <row r="43" spans="2:33" ht="9.9499999999999993" customHeight="1">
      <c r="B43" s="52"/>
      <c r="C43" s="195"/>
      <c r="D43" s="195"/>
      <c r="E43" s="195"/>
      <c r="F43" s="200"/>
      <c r="G43" s="200"/>
      <c r="H43" s="201"/>
      <c r="I43" s="205"/>
      <c r="J43" s="206"/>
      <c r="K43" s="207"/>
      <c r="N43" s="227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9"/>
      <c r="AG43" s="53"/>
    </row>
    <row r="44" spans="2:33" ht="9.9499999999999993" customHeight="1">
      <c r="B44" s="52"/>
      <c r="C44" s="195" t="s">
        <v>78</v>
      </c>
      <c r="D44" s="195"/>
      <c r="E44" s="195"/>
      <c r="F44" s="200" t="s">
        <v>81</v>
      </c>
      <c r="G44" s="200"/>
      <c r="H44" s="201"/>
      <c r="I44" s="202"/>
      <c r="J44" s="203"/>
      <c r="K44" s="204"/>
      <c r="N44" s="227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9"/>
      <c r="AG44" s="53"/>
    </row>
    <row r="45" spans="2:33" ht="9.9499999999999993" customHeight="1">
      <c r="B45" s="52"/>
      <c r="C45" s="195"/>
      <c r="D45" s="195"/>
      <c r="E45" s="195"/>
      <c r="F45" s="200"/>
      <c r="G45" s="200"/>
      <c r="H45" s="201"/>
      <c r="I45" s="205"/>
      <c r="J45" s="206"/>
      <c r="K45" s="207"/>
      <c r="N45" s="227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9"/>
      <c r="AG45" s="53"/>
    </row>
    <row r="46" spans="2:33" ht="9.9499999999999993" customHeight="1">
      <c r="B46" s="52"/>
      <c r="N46" s="227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9"/>
      <c r="AG46" s="53"/>
    </row>
    <row r="47" spans="2:33" ht="9.9499999999999993" customHeight="1">
      <c r="B47" s="52"/>
      <c r="C47" s="195" t="s">
        <v>57</v>
      </c>
      <c r="D47" s="195"/>
      <c r="E47" s="195"/>
      <c r="F47" s="200" t="s">
        <v>81</v>
      </c>
      <c r="G47" s="200"/>
      <c r="H47" s="201"/>
      <c r="I47" s="202"/>
      <c r="J47" s="203"/>
      <c r="K47" s="204"/>
      <c r="N47" s="227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9"/>
      <c r="AG47" s="53"/>
    </row>
    <row r="48" spans="2:33" ht="9.9499999999999993" customHeight="1">
      <c r="B48" s="52"/>
      <c r="C48" s="195"/>
      <c r="D48" s="195"/>
      <c r="E48" s="195"/>
      <c r="F48" s="200"/>
      <c r="G48" s="200"/>
      <c r="H48" s="201"/>
      <c r="I48" s="205"/>
      <c r="J48" s="206"/>
      <c r="K48" s="207"/>
      <c r="N48" s="230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2"/>
      <c r="AG48" s="53"/>
    </row>
    <row r="49" spans="2:33" ht="9.9499999999999993" customHeight="1">
      <c r="B49" s="52"/>
      <c r="AG49" s="53"/>
    </row>
    <row r="50" spans="2:33" ht="9.9499999999999993" customHeight="1">
      <c r="B50" s="52"/>
      <c r="C50" s="1" t="s">
        <v>188</v>
      </c>
      <c r="D50" s="1"/>
      <c r="F50" s="233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5"/>
      <c r="AB50" s="242" t="s">
        <v>189</v>
      </c>
      <c r="AC50" s="226"/>
      <c r="AG50" s="53"/>
    </row>
    <row r="51" spans="2:33" ht="9.9499999999999993" customHeight="1">
      <c r="B51" s="52"/>
      <c r="C51" s="1"/>
      <c r="D51" s="1"/>
      <c r="F51" s="236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8"/>
      <c r="AB51" s="230"/>
      <c r="AC51" s="232"/>
      <c r="AG51" s="53"/>
    </row>
    <row r="52" spans="2:33" ht="9.9499999999999993" customHeight="1">
      <c r="B52" s="52"/>
      <c r="F52" s="236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  <c r="AA52" s="238"/>
      <c r="AG52" s="53"/>
    </row>
    <row r="53" spans="2:33" ht="9.9499999999999993" customHeight="1">
      <c r="B53" s="52"/>
      <c r="F53" s="239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  <c r="AA53" s="241"/>
      <c r="AG53" s="53"/>
    </row>
    <row r="54" spans="2:33" ht="9.9499999999999993" customHeight="1">
      <c r="B54" s="52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U54" s="80"/>
      <c r="V54" s="80"/>
      <c r="W54" s="80"/>
      <c r="X54" s="80"/>
      <c r="Y54" s="80"/>
      <c r="Z54" s="80"/>
      <c r="AB54" s="80"/>
      <c r="AC54" s="80"/>
      <c r="AD54" s="80"/>
      <c r="AE54" s="80"/>
      <c r="AF54" s="80"/>
      <c r="AG54" s="53"/>
    </row>
    <row r="55" spans="2:33" ht="9.9499999999999993" customHeight="1">
      <c r="B55" s="52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U55" s="80"/>
      <c r="V55" s="80"/>
      <c r="W55" s="80"/>
      <c r="X55" s="80"/>
      <c r="Y55" s="80"/>
      <c r="Z55" s="80"/>
      <c r="AB55" s="80"/>
      <c r="AC55" s="80"/>
      <c r="AD55" s="80"/>
      <c r="AE55" s="80"/>
      <c r="AF55" s="80"/>
      <c r="AG55" s="53"/>
    </row>
    <row r="56" spans="2:33" ht="9.9499999999999993" customHeight="1">
      <c r="B56" s="52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U56" s="218" t="s">
        <v>252</v>
      </c>
      <c r="V56" s="219"/>
      <c r="W56" s="219"/>
      <c r="X56" s="219"/>
      <c r="Y56" s="220"/>
      <c r="AB56" s="210" t="s">
        <v>253</v>
      </c>
      <c r="AC56" s="211"/>
      <c r="AD56" s="211"/>
      <c r="AE56" s="211"/>
      <c r="AF56" s="212"/>
      <c r="AG56" s="53"/>
    </row>
    <row r="57" spans="2:33" ht="21" customHeight="1">
      <c r="B57" s="52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U57" s="221"/>
      <c r="V57" s="222"/>
      <c r="W57" s="222"/>
      <c r="X57" s="222"/>
      <c r="Y57" s="223"/>
      <c r="AB57" s="213"/>
      <c r="AC57" s="214"/>
      <c r="AD57" s="214"/>
      <c r="AE57" s="214"/>
      <c r="AF57" s="215"/>
      <c r="AG57" s="53"/>
    </row>
    <row r="58" spans="2:33" ht="9.9499999999999993" customHeight="1">
      <c r="B58" s="52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U58" s="80"/>
      <c r="V58" s="80"/>
      <c r="W58" s="80"/>
      <c r="X58" s="80"/>
      <c r="Y58" s="80"/>
      <c r="Z58" s="80"/>
      <c r="AB58" s="80"/>
      <c r="AC58" s="80"/>
      <c r="AD58" s="80"/>
      <c r="AE58" s="80"/>
      <c r="AF58" s="80"/>
      <c r="AG58" s="53"/>
    </row>
    <row r="59" spans="2:33" ht="9.9499999999999993" customHeight="1">
      <c r="B59" s="54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6"/>
    </row>
    <row r="63" spans="2:33" ht="9.9499999999999993" customHeight="1">
      <c r="C63" s="1" t="s">
        <v>190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5" spans="3:9" ht="9.9499999999999993" customHeight="1">
      <c r="C65" s="187" t="s">
        <v>254</v>
      </c>
      <c r="D65" s="187"/>
      <c r="E65" s="187"/>
      <c r="F65" s="187"/>
      <c r="G65" s="187"/>
      <c r="H65" s="187"/>
      <c r="I65" s="187"/>
    </row>
    <row r="66" spans="3:9" ht="15.75" customHeight="1">
      <c r="C66" s="187"/>
      <c r="D66" s="187"/>
      <c r="E66" s="187"/>
      <c r="F66" s="187"/>
      <c r="G66" s="187"/>
      <c r="H66" s="187"/>
      <c r="I66" s="187"/>
    </row>
  </sheetData>
  <mergeCells count="93">
    <mergeCell ref="G14:N15"/>
    <mergeCell ref="BK5:BL6"/>
    <mergeCell ref="BM5:BN6"/>
    <mergeCell ref="C3:E4"/>
    <mergeCell ref="F3:I4"/>
    <mergeCell ref="R7:U8"/>
    <mergeCell ref="V7:AC8"/>
    <mergeCell ref="AT5:AW6"/>
    <mergeCell ref="AX5:BA6"/>
    <mergeCell ref="BB5:BE6"/>
    <mergeCell ref="BF5:BH6"/>
    <mergeCell ref="BI5:BJ6"/>
    <mergeCell ref="J3:L4"/>
    <mergeCell ref="M3:P4"/>
    <mergeCell ref="AK5:AM6"/>
    <mergeCell ref="AN5:AP6"/>
    <mergeCell ref="AQ5:AS6"/>
    <mergeCell ref="C22:E23"/>
    <mergeCell ref="I22:K23"/>
    <mergeCell ref="F22:H23"/>
    <mergeCell ref="C28:E29"/>
    <mergeCell ref="I28:K29"/>
    <mergeCell ref="F28:H29"/>
    <mergeCell ref="C24:E25"/>
    <mergeCell ref="I24:K25"/>
    <mergeCell ref="F24:H25"/>
    <mergeCell ref="C26:E27"/>
    <mergeCell ref="I26:K27"/>
    <mergeCell ref="F26:H27"/>
    <mergeCell ref="N17:P18"/>
    <mergeCell ref="I17:K18"/>
    <mergeCell ref="W17:X18"/>
    <mergeCell ref="C17:E18"/>
    <mergeCell ref="C34:E35"/>
    <mergeCell ref="I34:K35"/>
    <mergeCell ref="F34:H35"/>
    <mergeCell ref="C36:E37"/>
    <mergeCell ref="I36:K37"/>
    <mergeCell ref="F36:H37"/>
    <mergeCell ref="C30:E31"/>
    <mergeCell ref="I30:K31"/>
    <mergeCell ref="F30:H31"/>
    <mergeCell ref="C32:E33"/>
    <mergeCell ref="I32:K33"/>
    <mergeCell ref="F32:H33"/>
    <mergeCell ref="C19:E20"/>
    <mergeCell ref="I19:K20"/>
    <mergeCell ref="AC19:AD20"/>
    <mergeCell ref="C47:E48"/>
    <mergeCell ref="I47:K48"/>
    <mergeCell ref="F47:H48"/>
    <mergeCell ref="AD10:AE11"/>
    <mergeCell ref="C42:E43"/>
    <mergeCell ref="I42:K43"/>
    <mergeCell ref="F42:H43"/>
    <mergeCell ref="C44:E45"/>
    <mergeCell ref="I44:K45"/>
    <mergeCell ref="F44:H45"/>
    <mergeCell ref="C38:E39"/>
    <mergeCell ref="I38:K39"/>
    <mergeCell ref="F38:H39"/>
    <mergeCell ref="C40:E41"/>
    <mergeCell ref="I40:K41"/>
    <mergeCell ref="U56:Y57"/>
    <mergeCell ref="X23:AA24"/>
    <mergeCell ref="N26:AF48"/>
    <mergeCell ref="AC23:AF24"/>
    <mergeCell ref="F50:AA53"/>
    <mergeCell ref="AB50:AC51"/>
    <mergeCell ref="F40:H41"/>
    <mergeCell ref="C7:F8"/>
    <mergeCell ref="G10:N11"/>
    <mergeCell ref="Q3:S4"/>
    <mergeCell ref="O10:Q11"/>
    <mergeCell ref="W10:Y11"/>
    <mergeCell ref="G7:P8"/>
    <mergeCell ref="T3:W4"/>
    <mergeCell ref="C65:I66"/>
    <mergeCell ref="Z10:AC11"/>
    <mergeCell ref="R10:V11"/>
    <mergeCell ref="C14:F15"/>
    <mergeCell ref="C10:F11"/>
    <mergeCell ref="F19:H20"/>
    <mergeCell ref="T17:V18"/>
    <mergeCell ref="T19:V20"/>
    <mergeCell ref="W19:X20"/>
    <mergeCell ref="Z19:AB20"/>
    <mergeCell ref="Q17:S18"/>
    <mergeCell ref="Z17:AB18"/>
    <mergeCell ref="AC17:AD18"/>
    <mergeCell ref="N19:P20"/>
    <mergeCell ref="Q19:S20"/>
    <mergeCell ref="AB56:AF57"/>
  </mergeCells>
  <phoneticPr fontId="1"/>
  <pageMargins left="0.25" right="0.25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B2:BF49"/>
  <sheetViews>
    <sheetView showGridLines="0" view="pageBreakPreview" zoomScale="115" zoomScaleNormal="100" zoomScaleSheetLayoutView="115" workbookViewId="0">
      <selection activeCell="U5" sqref="U5"/>
    </sheetView>
  </sheetViews>
  <sheetFormatPr defaultColWidth="2.5703125" defaultRowHeight="9.9499999999999993" customHeight="1"/>
  <cols>
    <col min="5" max="5" width="6.28515625" customWidth="1"/>
    <col min="8" max="8" width="4.7109375" customWidth="1"/>
    <col min="11" max="11" width="8" customWidth="1"/>
    <col min="13" max="13" width="10" customWidth="1"/>
  </cols>
  <sheetData>
    <row r="2" spans="2:58" ht="9.9499999999999993" customHeight="1"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1"/>
    </row>
    <row r="3" spans="2:58" ht="9.9499999999999993" customHeight="1">
      <c r="B3" s="52"/>
      <c r="C3" s="187" t="s">
        <v>247</v>
      </c>
      <c r="D3" s="228"/>
      <c r="E3" s="228"/>
      <c r="F3" s="256"/>
      <c r="G3" s="257"/>
      <c r="H3" s="257"/>
      <c r="I3" s="257"/>
      <c r="J3" s="257"/>
      <c r="K3" s="257"/>
      <c r="L3" s="258"/>
      <c r="AB3" s="210" t="s">
        <v>255</v>
      </c>
      <c r="AC3" s="211"/>
      <c r="AD3" s="211"/>
      <c r="AE3" s="212"/>
      <c r="AG3" s="53"/>
    </row>
    <row r="4" spans="2:58" ht="19.5" customHeight="1">
      <c r="B4" s="52"/>
      <c r="C4" s="228"/>
      <c r="D4" s="228"/>
      <c r="E4" s="228"/>
      <c r="F4" s="259"/>
      <c r="G4" s="260"/>
      <c r="H4" s="260"/>
      <c r="I4" s="260"/>
      <c r="J4" s="260"/>
      <c r="K4" s="260"/>
      <c r="L4" s="261"/>
      <c r="AB4" s="213"/>
      <c r="AC4" s="214"/>
      <c r="AD4" s="214"/>
      <c r="AE4" s="215"/>
      <c r="AG4" s="53"/>
    </row>
    <row r="5" spans="2:58" ht="9.9499999999999993" customHeight="1" thickBot="1">
      <c r="B5" s="52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3"/>
    </row>
    <row r="6" spans="2:58" ht="9.9499999999999993" customHeight="1" thickTop="1">
      <c r="B6" s="52"/>
      <c r="AG6" s="53"/>
    </row>
    <row r="7" spans="2:58" ht="9.9499999999999993" customHeight="1">
      <c r="B7" s="52"/>
      <c r="C7" s="266" t="s">
        <v>203</v>
      </c>
      <c r="D7" s="247"/>
      <c r="E7" s="248"/>
      <c r="F7" s="265" t="s">
        <v>286</v>
      </c>
      <c r="G7" s="247"/>
      <c r="H7" s="248"/>
      <c r="I7" s="265" t="s">
        <v>287</v>
      </c>
      <c r="J7" s="247"/>
      <c r="K7" s="248"/>
      <c r="L7" s="265" t="s">
        <v>288</v>
      </c>
      <c r="M7" s="248"/>
      <c r="AG7" s="53"/>
    </row>
    <row r="8" spans="2:58" ht="35.25" customHeight="1">
      <c r="B8" s="52"/>
      <c r="C8" s="249"/>
      <c r="D8" s="250"/>
      <c r="E8" s="251"/>
      <c r="F8" s="249"/>
      <c r="G8" s="250"/>
      <c r="H8" s="251"/>
      <c r="I8" s="249"/>
      <c r="J8" s="250"/>
      <c r="K8" s="251"/>
      <c r="L8" s="249"/>
      <c r="M8" s="251"/>
      <c r="N8" s="62"/>
      <c r="AG8" s="53"/>
    </row>
    <row r="9" spans="2:58" ht="9.9499999999999993" customHeight="1">
      <c r="B9" s="52"/>
      <c r="C9" s="140" t="s">
        <v>88</v>
      </c>
      <c r="D9" s="138"/>
      <c r="E9" s="131"/>
      <c r="F9" s="130"/>
      <c r="G9" s="138"/>
      <c r="H9" s="131"/>
      <c r="I9" s="130"/>
      <c r="J9" s="138"/>
      <c r="K9" s="131"/>
      <c r="L9" s="130" t="s">
        <v>89</v>
      </c>
      <c r="M9" s="131"/>
      <c r="N9" s="62"/>
      <c r="AG9" s="53"/>
      <c r="AL9" s="1" t="s">
        <v>63</v>
      </c>
      <c r="AO9" s="256"/>
      <c r="AP9" s="257"/>
      <c r="AQ9" s="257"/>
      <c r="AR9" s="257"/>
      <c r="AS9" s="257"/>
      <c r="AT9" s="257"/>
      <c r="AU9" s="258"/>
      <c r="AW9" s="1" t="s">
        <v>128</v>
      </c>
      <c r="AY9" s="256"/>
      <c r="AZ9" s="257"/>
      <c r="BA9" s="257"/>
      <c r="BB9" s="257"/>
      <c r="BC9" s="257"/>
      <c r="BD9" s="257"/>
      <c r="BE9" s="258"/>
    </row>
    <row r="10" spans="2:58" ht="9.9499999999999993" customHeight="1">
      <c r="B10" s="52"/>
      <c r="C10" s="262"/>
      <c r="D10" s="263"/>
      <c r="E10" s="264"/>
      <c r="F10" s="262"/>
      <c r="G10" s="263"/>
      <c r="H10" s="264"/>
      <c r="I10" s="262"/>
      <c r="J10" s="263"/>
      <c r="K10" s="264"/>
      <c r="L10" s="262"/>
      <c r="M10" s="264"/>
      <c r="N10" s="62"/>
      <c r="AG10" s="53"/>
      <c r="AO10" s="259"/>
      <c r="AP10" s="260"/>
      <c r="AQ10" s="260"/>
      <c r="AR10" s="260"/>
      <c r="AS10" s="260"/>
      <c r="AT10" s="260"/>
      <c r="AU10" s="261"/>
      <c r="AY10" s="259"/>
      <c r="AZ10" s="260"/>
      <c r="BA10" s="260"/>
      <c r="BB10" s="260"/>
      <c r="BC10" s="260"/>
      <c r="BD10" s="260"/>
      <c r="BE10" s="261"/>
    </row>
    <row r="11" spans="2:58" ht="9.9499999999999993" customHeight="1">
      <c r="B11" s="52"/>
      <c r="C11" s="140" t="s">
        <v>88</v>
      </c>
      <c r="D11" s="138"/>
      <c r="E11" s="131"/>
      <c r="F11" s="130"/>
      <c r="G11" s="138"/>
      <c r="H11" s="131"/>
      <c r="I11" s="130"/>
      <c r="J11" s="138"/>
      <c r="K11" s="131"/>
      <c r="L11" s="130" t="s">
        <v>89</v>
      </c>
      <c r="M11" s="131"/>
      <c r="N11" s="62"/>
      <c r="AG11" s="53"/>
      <c r="BF11" s="1"/>
    </row>
    <row r="12" spans="2:58" ht="9.9499999999999993" customHeight="1">
      <c r="B12" s="52"/>
      <c r="C12" s="262"/>
      <c r="D12" s="263"/>
      <c r="E12" s="264"/>
      <c r="F12" s="262"/>
      <c r="G12" s="263"/>
      <c r="H12" s="264"/>
      <c r="I12" s="262"/>
      <c r="J12" s="263"/>
      <c r="K12" s="264"/>
      <c r="L12" s="262"/>
      <c r="M12" s="264"/>
      <c r="N12" s="62"/>
      <c r="AG12" s="53"/>
      <c r="AL12" s="1" t="s">
        <v>66</v>
      </c>
      <c r="AM12" s="1"/>
      <c r="AN12" s="1"/>
      <c r="AO12" s="63"/>
      <c r="AP12" s="254" t="s">
        <v>83</v>
      </c>
      <c r="AQ12" s="63"/>
      <c r="AR12" s="1"/>
      <c r="AS12" s="1" t="s">
        <v>67</v>
      </c>
      <c r="AT12" s="1"/>
      <c r="AU12" s="1"/>
      <c r="AV12" s="63"/>
      <c r="AW12" s="254" t="s">
        <v>83</v>
      </c>
      <c r="AX12" s="63"/>
      <c r="AY12" s="1"/>
      <c r="AZ12" s="1" t="s">
        <v>73</v>
      </c>
      <c r="BA12" s="1"/>
      <c r="BB12" s="1"/>
      <c r="BC12" s="63"/>
      <c r="BD12" s="254" t="s">
        <v>83</v>
      </c>
      <c r="BE12" s="63"/>
      <c r="BF12" s="1"/>
    </row>
    <row r="13" spans="2:58" ht="9.9499999999999993" customHeight="1">
      <c r="B13" s="52"/>
      <c r="C13" s="140" t="s">
        <v>88</v>
      </c>
      <c r="D13" s="138"/>
      <c r="E13" s="131"/>
      <c r="F13" s="130"/>
      <c r="G13" s="138"/>
      <c r="H13" s="131"/>
      <c r="I13" s="130"/>
      <c r="J13" s="138"/>
      <c r="K13" s="131"/>
      <c r="L13" s="130"/>
      <c r="M13" s="131"/>
      <c r="N13" s="62"/>
      <c r="AG13" s="53"/>
      <c r="AL13" s="1"/>
      <c r="AM13" s="1"/>
      <c r="AN13" s="1"/>
      <c r="AO13" s="64"/>
      <c r="AP13" s="255"/>
      <c r="AQ13" s="64"/>
      <c r="AR13" s="1"/>
      <c r="AS13" s="1"/>
      <c r="AT13" s="1"/>
      <c r="AU13" s="1"/>
      <c r="AV13" s="64"/>
      <c r="AW13" s="255"/>
      <c r="AX13" s="64"/>
      <c r="AY13" s="1"/>
      <c r="AZ13" s="1"/>
      <c r="BA13" s="1"/>
      <c r="BB13" s="1"/>
      <c r="BC13" s="64"/>
      <c r="BD13" s="255"/>
      <c r="BE13" s="64"/>
      <c r="BF13" s="1"/>
    </row>
    <row r="14" spans="2:58" ht="9.9499999999999993" customHeight="1">
      <c r="B14" s="52"/>
      <c r="C14" s="262"/>
      <c r="D14" s="263"/>
      <c r="E14" s="264"/>
      <c r="F14" s="262"/>
      <c r="G14" s="263"/>
      <c r="H14" s="264"/>
      <c r="I14" s="262"/>
      <c r="J14" s="263"/>
      <c r="K14" s="264"/>
      <c r="L14" s="262"/>
      <c r="M14" s="264"/>
      <c r="N14" s="62"/>
      <c r="AG14" s="53"/>
      <c r="AL14" s="1" t="s">
        <v>90</v>
      </c>
      <c r="AM14" s="1"/>
      <c r="AN14" s="1"/>
      <c r="AO14" s="63"/>
      <c r="AP14" s="254" t="s">
        <v>83</v>
      </c>
      <c r="AQ14" s="63"/>
      <c r="AR14" s="1"/>
      <c r="AS14" s="1" t="s">
        <v>68</v>
      </c>
      <c r="AT14" s="1"/>
      <c r="AU14" s="1"/>
      <c r="AV14" s="63"/>
      <c r="AW14" s="254" t="s">
        <v>83</v>
      </c>
      <c r="AX14" s="63"/>
      <c r="AY14" s="1"/>
      <c r="AZ14" s="1" t="s">
        <v>74</v>
      </c>
      <c r="BA14" s="1"/>
      <c r="BB14" s="1"/>
      <c r="BC14" s="63"/>
      <c r="BD14" s="254" t="s">
        <v>83</v>
      </c>
      <c r="BE14" s="63"/>
      <c r="BF14" s="1"/>
    </row>
    <row r="15" spans="2:58" ht="9.9499999999999993" customHeight="1">
      <c r="B15" s="52"/>
      <c r="C15" s="140" t="s">
        <v>88</v>
      </c>
      <c r="D15" s="138"/>
      <c r="E15" s="131"/>
      <c r="F15" s="130"/>
      <c r="G15" s="138"/>
      <c r="H15" s="131"/>
      <c r="I15" s="130"/>
      <c r="J15" s="138"/>
      <c r="K15" s="131"/>
      <c r="L15" s="130"/>
      <c r="M15" s="131"/>
      <c r="N15" s="62"/>
      <c r="AG15" s="53"/>
      <c r="AL15" s="1"/>
      <c r="AM15" s="1"/>
      <c r="AN15" s="1"/>
      <c r="AO15" s="64"/>
      <c r="AP15" s="255"/>
      <c r="AQ15" s="64"/>
      <c r="AR15" s="1"/>
      <c r="AS15" s="1"/>
      <c r="AT15" s="1"/>
      <c r="AU15" s="1"/>
      <c r="AV15" s="64"/>
      <c r="AW15" s="255"/>
      <c r="AX15" s="64"/>
      <c r="AY15" s="1"/>
      <c r="AZ15" s="1"/>
      <c r="BA15" s="1"/>
      <c r="BB15" s="1"/>
      <c r="BC15" s="64"/>
      <c r="BD15" s="255"/>
      <c r="BE15" s="64"/>
      <c r="BF15" s="1"/>
    </row>
    <row r="16" spans="2:58" ht="9.9499999999999993" customHeight="1">
      <c r="B16" s="52"/>
      <c r="C16" s="262"/>
      <c r="D16" s="263"/>
      <c r="E16" s="264"/>
      <c r="F16" s="262"/>
      <c r="G16" s="263"/>
      <c r="H16" s="264"/>
      <c r="I16" s="262"/>
      <c r="J16" s="263"/>
      <c r="K16" s="264"/>
      <c r="L16" s="262"/>
      <c r="M16" s="264"/>
      <c r="N16" s="62"/>
      <c r="AG16" s="53"/>
      <c r="AL16" s="1" t="s">
        <v>60</v>
      </c>
      <c r="AM16" s="1"/>
      <c r="AN16" s="1"/>
      <c r="AO16" s="63"/>
      <c r="AP16" s="254" t="s">
        <v>83</v>
      </c>
      <c r="AQ16" s="63"/>
      <c r="AR16" s="1"/>
      <c r="AS16" s="1" t="s">
        <v>69</v>
      </c>
      <c r="AT16" s="1"/>
      <c r="AU16" s="1"/>
      <c r="AV16" s="63"/>
      <c r="AW16" s="254" t="s">
        <v>83</v>
      </c>
      <c r="AX16" s="63"/>
      <c r="AY16" s="1"/>
      <c r="AZ16" s="1" t="s">
        <v>75</v>
      </c>
      <c r="BA16" s="1"/>
      <c r="BB16" s="1"/>
      <c r="BC16" s="63"/>
      <c r="BD16" s="254" t="s">
        <v>83</v>
      </c>
      <c r="BE16" s="63"/>
      <c r="BF16" s="1"/>
    </row>
    <row r="17" spans="2:58" ht="9.9499999999999993" customHeight="1">
      <c r="B17" s="52"/>
      <c r="C17" s="140" t="s">
        <v>88</v>
      </c>
      <c r="D17" s="138"/>
      <c r="E17" s="131"/>
      <c r="F17" s="130"/>
      <c r="G17" s="138"/>
      <c r="H17" s="131"/>
      <c r="I17" s="130"/>
      <c r="J17" s="138"/>
      <c r="K17" s="131"/>
      <c r="L17" s="130"/>
      <c r="M17" s="131"/>
      <c r="N17" s="62"/>
      <c r="AG17" s="53"/>
      <c r="AL17" s="1"/>
      <c r="AM17" s="1"/>
      <c r="AN17" s="1"/>
      <c r="AO17" s="64"/>
      <c r="AP17" s="255"/>
      <c r="AQ17" s="64"/>
      <c r="AR17" s="1"/>
      <c r="AS17" s="1"/>
      <c r="AT17" s="1"/>
      <c r="AU17" s="1"/>
      <c r="AV17" s="64"/>
      <c r="AW17" s="255"/>
      <c r="AX17" s="64"/>
      <c r="AY17" s="1"/>
      <c r="AZ17" s="1"/>
      <c r="BA17" s="1"/>
      <c r="BB17" s="1"/>
      <c r="BC17" s="64"/>
      <c r="BD17" s="255"/>
      <c r="BE17" s="64"/>
      <c r="BF17" s="1"/>
    </row>
    <row r="18" spans="2:58" ht="9.9499999999999993" customHeight="1">
      <c r="B18" s="52"/>
      <c r="C18" s="262"/>
      <c r="D18" s="263"/>
      <c r="E18" s="264"/>
      <c r="F18" s="262"/>
      <c r="G18" s="263"/>
      <c r="H18" s="264"/>
      <c r="I18" s="262"/>
      <c r="J18" s="263"/>
      <c r="K18" s="264"/>
      <c r="L18" s="262"/>
      <c r="M18" s="264"/>
      <c r="N18" s="62"/>
      <c r="AG18" s="53"/>
      <c r="AL18" s="1" t="s">
        <v>91</v>
      </c>
      <c r="AM18" s="1"/>
      <c r="AN18" s="1"/>
      <c r="AO18" s="63"/>
      <c r="AP18" s="254" t="s">
        <v>83</v>
      </c>
      <c r="AQ18" s="63"/>
      <c r="AR18" s="1"/>
      <c r="AS18" s="1" t="s">
        <v>70</v>
      </c>
      <c r="AT18" s="1"/>
      <c r="AU18" s="1"/>
      <c r="AV18" s="63"/>
      <c r="AW18" s="254" t="s">
        <v>83</v>
      </c>
      <c r="AX18" s="63"/>
      <c r="AY18" s="1"/>
      <c r="AZ18" s="1" t="s">
        <v>76</v>
      </c>
      <c r="BA18" s="1"/>
      <c r="BB18" s="1"/>
      <c r="BC18" s="63"/>
      <c r="BD18" s="254" t="s">
        <v>83</v>
      </c>
      <c r="BE18" s="63"/>
      <c r="BF18" s="1"/>
    </row>
    <row r="19" spans="2:58" ht="9.9499999999999993" customHeight="1">
      <c r="B19" s="52"/>
      <c r="C19" s="140" t="s">
        <v>88</v>
      </c>
      <c r="D19" s="138"/>
      <c r="E19" s="131"/>
      <c r="F19" s="130"/>
      <c r="G19" s="138"/>
      <c r="H19" s="131"/>
      <c r="I19" s="130"/>
      <c r="J19" s="138"/>
      <c r="K19" s="131"/>
      <c r="L19" s="130"/>
      <c r="M19" s="131"/>
      <c r="N19" s="62"/>
      <c r="AG19" s="53"/>
      <c r="AL19" s="1"/>
      <c r="AM19" s="1"/>
      <c r="AN19" s="1"/>
      <c r="AO19" s="64"/>
      <c r="AP19" s="255"/>
      <c r="AQ19" s="64"/>
      <c r="AR19" s="1"/>
      <c r="AS19" s="1"/>
      <c r="AT19" s="1"/>
      <c r="AU19" s="1"/>
      <c r="AV19" s="64"/>
      <c r="AW19" s="255"/>
      <c r="AX19" s="64"/>
      <c r="AY19" s="1"/>
      <c r="AZ19" s="1"/>
      <c r="BA19" s="1"/>
      <c r="BB19" s="1"/>
      <c r="BC19" s="64"/>
      <c r="BD19" s="255"/>
      <c r="BE19" s="64"/>
      <c r="BF19" s="1"/>
    </row>
    <row r="20" spans="2:58" ht="9.9499999999999993" customHeight="1">
      <c r="B20" s="52"/>
      <c r="C20" s="262"/>
      <c r="D20" s="263"/>
      <c r="E20" s="264"/>
      <c r="F20" s="262"/>
      <c r="G20" s="263"/>
      <c r="H20" s="264"/>
      <c r="I20" s="262"/>
      <c r="J20" s="263"/>
      <c r="K20" s="264"/>
      <c r="L20" s="262"/>
      <c r="M20" s="264"/>
      <c r="N20" s="62"/>
      <c r="AG20" s="53"/>
      <c r="AL20" s="1"/>
      <c r="AM20" s="1"/>
      <c r="AN20" s="1"/>
      <c r="AO20" s="1"/>
      <c r="AP20" s="1"/>
      <c r="AQ20" s="1"/>
      <c r="AR20" s="1"/>
      <c r="AS20" s="1" t="s">
        <v>71</v>
      </c>
      <c r="AT20" s="1"/>
      <c r="AU20" s="1"/>
      <c r="AV20" s="63"/>
      <c r="AW20" s="254" t="s">
        <v>83</v>
      </c>
      <c r="AX20" s="63"/>
      <c r="AY20" s="1"/>
      <c r="AZ20" s="1" t="s">
        <v>77</v>
      </c>
      <c r="BA20" s="1"/>
      <c r="BB20" s="1"/>
      <c r="BC20" s="63"/>
      <c r="BD20" s="254" t="s">
        <v>83</v>
      </c>
      <c r="BE20" s="63"/>
      <c r="BF20" s="1"/>
    </row>
    <row r="21" spans="2:58" ht="9.9499999999999993" customHeight="1">
      <c r="B21" s="52"/>
      <c r="C21" s="140" t="s">
        <v>88</v>
      </c>
      <c r="D21" s="138"/>
      <c r="E21" s="131"/>
      <c r="F21" s="130"/>
      <c r="G21" s="138"/>
      <c r="H21" s="131"/>
      <c r="I21" s="130"/>
      <c r="J21" s="138"/>
      <c r="K21" s="131"/>
      <c r="L21" s="130"/>
      <c r="M21" s="131"/>
      <c r="N21" s="62"/>
      <c r="AG21" s="53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64"/>
      <c r="AW21" s="255"/>
      <c r="AX21" s="64"/>
      <c r="AY21" s="1"/>
      <c r="AZ21" s="1"/>
      <c r="BA21" s="1"/>
      <c r="BB21" s="1"/>
      <c r="BC21" s="64"/>
      <c r="BD21" s="255"/>
      <c r="BE21" s="64"/>
      <c r="BF21" s="1"/>
    </row>
    <row r="22" spans="2:58" ht="9.9499999999999993" customHeight="1">
      <c r="B22" s="52"/>
      <c r="C22" s="262"/>
      <c r="D22" s="263"/>
      <c r="E22" s="264"/>
      <c r="F22" s="262"/>
      <c r="G22" s="263"/>
      <c r="H22" s="264"/>
      <c r="I22" s="262"/>
      <c r="J22" s="263"/>
      <c r="K22" s="264"/>
      <c r="L22" s="262"/>
      <c r="M22" s="264"/>
      <c r="N22" s="62"/>
      <c r="AG22" s="53"/>
      <c r="AL22" s="1"/>
      <c r="AM22" s="1"/>
      <c r="AN22" s="1"/>
      <c r="AO22" s="1"/>
      <c r="AP22" s="1"/>
      <c r="AQ22" s="1"/>
      <c r="AR22" s="1"/>
      <c r="AS22" s="1" t="s">
        <v>72</v>
      </c>
      <c r="AT22" s="1"/>
      <c r="AU22" s="1"/>
      <c r="AV22" s="63"/>
      <c r="AW22" s="254" t="s">
        <v>83</v>
      </c>
      <c r="AX22" s="63"/>
      <c r="AY22" s="1"/>
      <c r="AZ22" s="1"/>
      <c r="BA22" s="1"/>
      <c r="BB22" s="1"/>
      <c r="BC22" s="1"/>
      <c r="BD22" s="1"/>
      <c r="BE22" s="1"/>
      <c r="BF22" s="1"/>
    </row>
    <row r="23" spans="2:58" ht="9.9499999999999993" customHeight="1">
      <c r="B23" s="52"/>
      <c r="C23" s="140" t="s">
        <v>88</v>
      </c>
      <c r="D23" s="138"/>
      <c r="E23" s="131"/>
      <c r="F23" s="130"/>
      <c r="G23" s="138"/>
      <c r="H23" s="131"/>
      <c r="I23" s="130"/>
      <c r="J23" s="138"/>
      <c r="K23" s="131"/>
      <c r="L23" s="130"/>
      <c r="M23" s="131"/>
      <c r="N23" s="62"/>
      <c r="AG23" s="53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64"/>
      <c r="AW23" s="255"/>
      <c r="AX23" s="64"/>
      <c r="AY23" s="1"/>
      <c r="AZ23" s="1"/>
      <c r="BA23" s="1"/>
      <c r="BB23" s="1"/>
      <c r="BC23" s="1"/>
      <c r="BD23" s="1"/>
      <c r="BE23" s="1"/>
      <c r="BF23" s="1"/>
    </row>
    <row r="24" spans="2:58" ht="9.9499999999999993" customHeight="1">
      <c r="B24" s="52"/>
      <c r="C24" s="262"/>
      <c r="D24" s="263"/>
      <c r="E24" s="264"/>
      <c r="F24" s="262"/>
      <c r="G24" s="263"/>
      <c r="H24" s="264"/>
      <c r="I24" s="262"/>
      <c r="J24" s="263"/>
      <c r="K24" s="264"/>
      <c r="L24" s="262"/>
      <c r="M24" s="264"/>
      <c r="N24" s="62"/>
      <c r="AG24" s="53"/>
      <c r="BC24" s="210" t="s">
        <v>256</v>
      </c>
      <c r="BD24" s="211"/>
      <c r="BE24" s="211"/>
      <c r="BF24" s="212"/>
    </row>
    <row r="25" spans="2:58" ht="19.5" customHeight="1">
      <c r="B25" s="52"/>
      <c r="C25" s="140" t="s">
        <v>88</v>
      </c>
      <c r="D25" s="138"/>
      <c r="E25" s="131"/>
      <c r="F25" s="130"/>
      <c r="G25" s="138"/>
      <c r="H25" s="131"/>
      <c r="I25" s="130"/>
      <c r="J25" s="138"/>
      <c r="K25" s="131"/>
      <c r="L25" s="130"/>
      <c r="M25" s="131"/>
      <c r="N25" s="62"/>
      <c r="AG25" s="53"/>
      <c r="BC25" s="213"/>
      <c r="BD25" s="214"/>
      <c r="BE25" s="214"/>
      <c r="BF25" s="215"/>
    </row>
    <row r="26" spans="2:58" ht="9.9499999999999993" customHeight="1">
      <c r="B26" s="52"/>
      <c r="C26" s="262"/>
      <c r="D26" s="263"/>
      <c r="E26" s="264"/>
      <c r="F26" s="262"/>
      <c r="G26" s="263"/>
      <c r="H26" s="264"/>
      <c r="I26" s="262"/>
      <c r="J26" s="263"/>
      <c r="K26" s="264"/>
      <c r="L26" s="262"/>
      <c r="M26" s="264"/>
      <c r="N26" s="62"/>
      <c r="AG26" s="53"/>
    </row>
    <row r="27" spans="2:58" ht="9.9499999999999993" customHeight="1">
      <c r="B27" s="52"/>
      <c r="C27" s="140" t="s">
        <v>88</v>
      </c>
      <c r="D27" s="138"/>
      <c r="E27" s="131"/>
      <c r="F27" s="130"/>
      <c r="G27" s="138"/>
      <c r="H27" s="131"/>
      <c r="I27" s="130"/>
      <c r="J27" s="138"/>
      <c r="K27" s="131"/>
      <c r="L27" s="130"/>
      <c r="M27" s="131"/>
      <c r="N27" s="62"/>
      <c r="AG27" s="53"/>
      <c r="AM27" s="49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1"/>
    </row>
    <row r="28" spans="2:58" ht="9.9499999999999993" customHeight="1">
      <c r="B28" s="52"/>
      <c r="C28" s="262"/>
      <c r="D28" s="263"/>
      <c r="E28" s="264"/>
      <c r="F28" s="262"/>
      <c r="G28" s="263"/>
      <c r="H28" s="264"/>
      <c r="I28" s="262"/>
      <c r="J28" s="263"/>
      <c r="K28" s="264"/>
      <c r="L28" s="262"/>
      <c r="M28" s="264"/>
      <c r="N28" s="62"/>
      <c r="AG28" s="53"/>
      <c r="AM28" s="52"/>
      <c r="BF28" s="53"/>
    </row>
    <row r="29" spans="2:58" ht="9.9499999999999993" customHeight="1">
      <c r="B29" s="52"/>
      <c r="C29" s="140" t="s">
        <v>88</v>
      </c>
      <c r="D29" s="138"/>
      <c r="E29" s="131"/>
      <c r="F29" s="130"/>
      <c r="G29" s="138"/>
      <c r="H29" s="131"/>
      <c r="I29" s="130"/>
      <c r="J29" s="138"/>
      <c r="K29" s="131"/>
      <c r="L29" s="130"/>
      <c r="M29" s="131"/>
      <c r="N29" s="62"/>
      <c r="AG29" s="53"/>
      <c r="AM29" s="52"/>
      <c r="BF29" s="53"/>
    </row>
    <row r="30" spans="2:58" ht="9.9499999999999993" customHeight="1">
      <c r="B30" s="52"/>
      <c r="C30" s="262"/>
      <c r="D30" s="263"/>
      <c r="E30" s="264"/>
      <c r="F30" s="262"/>
      <c r="G30" s="263"/>
      <c r="H30" s="264"/>
      <c r="I30" s="262"/>
      <c r="J30" s="263"/>
      <c r="K30" s="264"/>
      <c r="L30" s="262"/>
      <c r="M30" s="264"/>
      <c r="N30" s="62"/>
      <c r="AG30" s="53"/>
      <c r="AM30" s="52"/>
      <c r="BF30" s="53"/>
    </row>
    <row r="31" spans="2:58" ht="9.9499999999999993" customHeight="1">
      <c r="B31" s="52"/>
      <c r="C31" s="140" t="s">
        <v>88</v>
      </c>
      <c r="D31" s="138"/>
      <c r="E31" s="131"/>
      <c r="F31" s="130"/>
      <c r="G31" s="138"/>
      <c r="H31" s="131"/>
      <c r="I31" s="130"/>
      <c r="J31" s="138"/>
      <c r="K31" s="131"/>
      <c r="L31" s="130"/>
      <c r="M31" s="131"/>
      <c r="N31" s="62"/>
      <c r="AG31" s="53"/>
      <c r="AM31" s="52"/>
      <c r="BF31" s="53"/>
    </row>
    <row r="32" spans="2:58" ht="9.9499999999999993" customHeight="1">
      <c r="B32" s="52"/>
      <c r="C32" s="262"/>
      <c r="D32" s="263"/>
      <c r="E32" s="264"/>
      <c r="F32" s="262"/>
      <c r="G32" s="263"/>
      <c r="H32" s="264"/>
      <c r="I32" s="262"/>
      <c r="J32" s="263"/>
      <c r="K32" s="264"/>
      <c r="L32" s="262"/>
      <c r="M32" s="264"/>
      <c r="N32" s="62"/>
      <c r="AG32" s="53"/>
      <c r="AM32" s="52"/>
      <c r="BF32" s="53"/>
    </row>
    <row r="33" spans="2:58" ht="9.9499999999999993" customHeight="1">
      <c r="B33" s="52"/>
      <c r="C33" s="140" t="s">
        <v>88</v>
      </c>
      <c r="D33" s="138"/>
      <c r="E33" s="131"/>
      <c r="F33" s="130"/>
      <c r="G33" s="138"/>
      <c r="H33" s="131"/>
      <c r="I33" s="130"/>
      <c r="J33" s="138"/>
      <c r="K33" s="131"/>
      <c r="L33" s="130"/>
      <c r="M33" s="131"/>
      <c r="N33" s="62"/>
      <c r="AG33" s="53"/>
      <c r="AM33" s="52"/>
      <c r="BF33" s="53"/>
    </row>
    <row r="34" spans="2:58" ht="9.9499999999999993" customHeight="1">
      <c r="B34" s="52"/>
      <c r="C34" s="262"/>
      <c r="D34" s="263"/>
      <c r="E34" s="264"/>
      <c r="F34" s="262"/>
      <c r="G34" s="263"/>
      <c r="H34" s="264"/>
      <c r="I34" s="262"/>
      <c r="J34" s="263"/>
      <c r="K34" s="264"/>
      <c r="L34" s="262"/>
      <c r="M34" s="264"/>
      <c r="N34" s="62"/>
      <c r="AG34" s="53"/>
      <c r="AM34" s="52"/>
      <c r="BF34" s="53"/>
    </row>
    <row r="35" spans="2:58" ht="9.9499999999999993" customHeight="1">
      <c r="B35" s="52"/>
      <c r="C35" s="140" t="s">
        <v>88</v>
      </c>
      <c r="D35" s="138"/>
      <c r="E35" s="131"/>
      <c r="F35" s="130"/>
      <c r="G35" s="138"/>
      <c r="H35" s="131"/>
      <c r="I35" s="130"/>
      <c r="J35" s="138"/>
      <c r="K35" s="131"/>
      <c r="L35" s="130"/>
      <c r="M35" s="131"/>
      <c r="N35" s="62"/>
      <c r="AG35" s="53"/>
      <c r="AM35" s="52"/>
      <c r="BF35" s="53"/>
    </row>
    <row r="36" spans="2:58" ht="9.9499999999999993" customHeight="1">
      <c r="B36" s="52"/>
      <c r="C36" s="262"/>
      <c r="D36" s="263"/>
      <c r="E36" s="264"/>
      <c r="F36" s="262"/>
      <c r="G36" s="263"/>
      <c r="H36" s="264"/>
      <c r="I36" s="262"/>
      <c r="J36" s="263"/>
      <c r="K36" s="264"/>
      <c r="L36" s="262"/>
      <c r="M36" s="264"/>
      <c r="N36" s="62"/>
      <c r="AG36" s="53"/>
      <c r="AM36" s="52"/>
      <c r="BF36" s="61"/>
    </row>
    <row r="37" spans="2:58" ht="9.9499999999999993" customHeight="1">
      <c r="B37" s="52"/>
      <c r="C37" s="140" t="s">
        <v>88</v>
      </c>
      <c r="D37" s="138"/>
      <c r="E37" s="131"/>
      <c r="F37" s="130"/>
      <c r="G37" s="138"/>
      <c r="H37" s="131"/>
      <c r="I37" s="130"/>
      <c r="J37" s="138"/>
      <c r="K37" s="131"/>
      <c r="L37" s="130"/>
      <c r="M37" s="131"/>
      <c r="N37" s="62"/>
      <c r="AG37" s="53"/>
      <c r="AM37" s="52"/>
      <c r="BF37" s="61"/>
    </row>
    <row r="38" spans="2:58" ht="9.9499999999999993" customHeight="1">
      <c r="B38" s="52"/>
      <c r="C38" s="262"/>
      <c r="D38" s="263"/>
      <c r="E38" s="264"/>
      <c r="F38" s="262"/>
      <c r="G38" s="263"/>
      <c r="H38" s="264"/>
      <c r="I38" s="262"/>
      <c r="J38" s="263"/>
      <c r="K38" s="264"/>
      <c r="L38" s="262"/>
      <c r="M38" s="264"/>
      <c r="N38" s="62"/>
      <c r="AG38" s="53"/>
      <c r="AL38" s="1"/>
      <c r="AM38" s="65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61"/>
    </row>
    <row r="39" spans="2:58" ht="9.9499999999999993" customHeight="1">
      <c r="B39" s="52"/>
      <c r="C39" s="140" t="s">
        <v>88</v>
      </c>
      <c r="D39" s="138"/>
      <c r="E39" s="131"/>
      <c r="F39" s="130"/>
      <c r="G39" s="138"/>
      <c r="H39" s="131"/>
      <c r="I39" s="130"/>
      <c r="J39" s="138"/>
      <c r="K39" s="131"/>
      <c r="L39" s="130"/>
      <c r="M39" s="131"/>
      <c r="N39" s="62"/>
      <c r="AG39" s="53"/>
      <c r="AL39" s="1"/>
      <c r="AM39" s="65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61"/>
    </row>
    <row r="40" spans="2:58" ht="9.9499999999999993" customHeight="1">
      <c r="B40" s="52"/>
      <c r="C40" s="262"/>
      <c r="D40" s="263"/>
      <c r="E40" s="264"/>
      <c r="F40" s="262"/>
      <c r="G40" s="263"/>
      <c r="H40" s="264"/>
      <c r="I40" s="262"/>
      <c r="J40" s="263"/>
      <c r="K40" s="264"/>
      <c r="L40" s="262"/>
      <c r="M40" s="264"/>
      <c r="N40" s="62"/>
      <c r="AB40" s="218" t="s">
        <v>252</v>
      </c>
      <c r="AC40" s="219"/>
      <c r="AD40" s="219"/>
      <c r="AE40" s="219"/>
      <c r="AF40" s="220"/>
      <c r="AG40" s="53"/>
      <c r="AL40" s="1"/>
      <c r="AM40" s="65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61"/>
    </row>
    <row r="41" spans="2:58" ht="21.75" customHeight="1">
      <c r="B41" s="52"/>
      <c r="C41" s="140" t="s">
        <v>88</v>
      </c>
      <c r="D41" s="138"/>
      <c r="E41" s="131"/>
      <c r="F41" s="130"/>
      <c r="G41" s="138"/>
      <c r="H41" s="131"/>
      <c r="I41" s="130"/>
      <c r="J41" s="138"/>
      <c r="K41" s="131"/>
      <c r="L41" s="130"/>
      <c r="M41" s="131"/>
      <c r="N41" s="62"/>
      <c r="AB41" s="221"/>
      <c r="AC41" s="222"/>
      <c r="AD41" s="222"/>
      <c r="AE41" s="222"/>
      <c r="AF41" s="223"/>
      <c r="AG41" s="53"/>
      <c r="AL41" s="1"/>
      <c r="AM41" s="65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61"/>
    </row>
    <row r="42" spans="2:58" ht="9.9499999999999993" customHeight="1">
      <c r="B42" s="52"/>
      <c r="C42" s="262"/>
      <c r="D42" s="263"/>
      <c r="E42" s="264"/>
      <c r="F42" s="262"/>
      <c r="G42" s="263"/>
      <c r="H42" s="264"/>
      <c r="I42" s="262"/>
      <c r="J42" s="263"/>
      <c r="K42" s="264"/>
      <c r="L42" s="262"/>
      <c r="M42" s="264"/>
      <c r="N42" s="62"/>
      <c r="AG42" s="53"/>
      <c r="AL42" s="1"/>
      <c r="AM42" s="65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61"/>
    </row>
    <row r="43" spans="2:58" ht="9.9499999999999993" customHeight="1">
      <c r="B43" s="52"/>
      <c r="C43" s="140" t="s">
        <v>88</v>
      </c>
      <c r="D43" s="138"/>
      <c r="E43" s="131"/>
      <c r="F43" s="130"/>
      <c r="G43" s="138"/>
      <c r="H43" s="131"/>
      <c r="I43" s="130"/>
      <c r="J43" s="138"/>
      <c r="K43" s="131"/>
      <c r="L43" s="130"/>
      <c r="M43" s="131"/>
      <c r="N43" s="62"/>
      <c r="AG43" s="53"/>
      <c r="AL43" s="1"/>
      <c r="AM43" s="65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61"/>
    </row>
    <row r="44" spans="2:58" ht="9.9499999999999993" customHeight="1">
      <c r="B44" s="52"/>
      <c r="C44" s="262"/>
      <c r="D44" s="263"/>
      <c r="E44" s="264"/>
      <c r="F44" s="262"/>
      <c r="G44" s="263"/>
      <c r="H44" s="264"/>
      <c r="I44" s="262"/>
      <c r="J44" s="263"/>
      <c r="K44" s="264"/>
      <c r="L44" s="262"/>
      <c r="M44" s="264"/>
      <c r="N44" s="62"/>
      <c r="AG44" s="53"/>
      <c r="AL44" s="1"/>
      <c r="AM44" s="52"/>
      <c r="BF44" s="53"/>
    </row>
    <row r="45" spans="2:58" ht="9.9499999999999993" customHeight="1">
      <c r="B45" s="52"/>
      <c r="C45" s="1"/>
      <c r="D45" s="1"/>
      <c r="E45" s="1"/>
      <c r="F45" s="1"/>
      <c r="G45" s="1"/>
      <c r="H45" s="1"/>
      <c r="I45" s="1"/>
      <c r="J45" s="1"/>
      <c r="N45" s="62"/>
      <c r="AG45" s="53"/>
      <c r="AL45" s="1"/>
      <c r="AM45" s="52"/>
      <c r="BF45" s="53"/>
    </row>
    <row r="46" spans="2:58" ht="9.9499999999999993" customHeight="1">
      <c r="B46" s="52"/>
      <c r="C46" s="1"/>
      <c r="D46" s="1"/>
      <c r="E46" s="1"/>
      <c r="F46" s="1"/>
      <c r="G46" s="1"/>
      <c r="H46" s="1"/>
      <c r="I46" s="1"/>
      <c r="J46" s="1"/>
      <c r="AG46" s="53"/>
      <c r="AL46" s="1"/>
      <c r="AM46" s="54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6"/>
    </row>
    <row r="47" spans="2:58" ht="9.9499999999999993" customHeight="1">
      <c r="B47" s="52"/>
      <c r="C47" s="1"/>
      <c r="D47" s="1"/>
      <c r="E47" s="1"/>
      <c r="F47" s="1"/>
      <c r="G47" s="1"/>
      <c r="H47" s="1"/>
      <c r="I47" s="1"/>
      <c r="J47" s="1"/>
      <c r="AG47" s="53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 spans="2:58" ht="9.9499999999999993" customHeight="1">
      <c r="B48" s="54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6"/>
      <c r="AL48" s="1"/>
      <c r="AM48" s="256"/>
      <c r="AN48" s="257"/>
      <c r="AO48" s="257"/>
      <c r="AP48" s="257"/>
      <c r="AQ48" s="257"/>
      <c r="AR48" s="257"/>
      <c r="AS48" s="258"/>
      <c r="AT48" s="201" t="s">
        <v>92</v>
      </c>
      <c r="AU48" s="218" t="s">
        <v>257</v>
      </c>
      <c r="AV48" s="219"/>
      <c r="AW48" s="219"/>
      <c r="AX48" s="219"/>
      <c r="AY48" s="220"/>
    </row>
    <row r="49" spans="38:51" ht="18" customHeight="1">
      <c r="AL49" s="1"/>
      <c r="AM49" s="259"/>
      <c r="AN49" s="260"/>
      <c r="AO49" s="260"/>
      <c r="AP49" s="260"/>
      <c r="AQ49" s="260"/>
      <c r="AR49" s="260"/>
      <c r="AS49" s="261"/>
      <c r="AT49" s="201"/>
      <c r="AU49" s="221"/>
      <c r="AV49" s="222"/>
      <c r="AW49" s="222"/>
      <c r="AX49" s="222"/>
      <c r="AY49" s="223"/>
    </row>
  </sheetData>
  <mergeCells count="101">
    <mergeCell ref="I43:K44"/>
    <mergeCell ref="AY9:BE10"/>
    <mergeCell ref="I29:K30"/>
    <mergeCell ref="I31:K32"/>
    <mergeCell ref="I33:K34"/>
    <mergeCell ref="I35:K36"/>
    <mergeCell ref="I37:K38"/>
    <mergeCell ref="I19:K20"/>
    <mergeCell ref="I21:K22"/>
    <mergeCell ref="I23:K24"/>
    <mergeCell ref="I25:K26"/>
    <mergeCell ref="I27:K28"/>
    <mergeCell ref="L19:M20"/>
    <mergeCell ref="AW14:AW15"/>
    <mergeCell ref="AW16:AW17"/>
    <mergeCell ref="AW18:AW19"/>
    <mergeCell ref="L25:M26"/>
    <mergeCell ref="I17:K18"/>
    <mergeCell ref="C3:E4"/>
    <mergeCell ref="F3:L4"/>
    <mergeCell ref="L7:M8"/>
    <mergeCell ref="F15:H16"/>
    <mergeCell ref="L13:M14"/>
    <mergeCell ref="F7:H8"/>
    <mergeCell ref="I7:K8"/>
    <mergeCell ref="I9:K10"/>
    <mergeCell ref="I11:K12"/>
    <mergeCell ref="I13:K14"/>
    <mergeCell ref="I15:K16"/>
    <mergeCell ref="C9:E10"/>
    <mergeCell ref="L9:M10"/>
    <mergeCell ref="F9:H10"/>
    <mergeCell ref="C13:E14"/>
    <mergeCell ref="C11:E12"/>
    <mergeCell ref="L11:M12"/>
    <mergeCell ref="F11:H12"/>
    <mergeCell ref="F13:H14"/>
    <mergeCell ref="C15:E16"/>
    <mergeCell ref="L15:M16"/>
    <mergeCell ref="C7:E8"/>
    <mergeCell ref="C43:E44"/>
    <mergeCell ref="F27:H28"/>
    <mergeCell ref="F29:H30"/>
    <mergeCell ref="F31:H32"/>
    <mergeCell ref="F33:H34"/>
    <mergeCell ref="C35:E36"/>
    <mergeCell ref="L35:M36"/>
    <mergeCell ref="F35:H36"/>
    <mergeCell ref="C39:E40"/>
    <mergeCell ref="L39:M40"/>
    <mergeCell ref="F39:H40"/>
    <mergeCell ref="L43:M44"/>
    <mergeCell ref="F43:H44"/>
    <mergeCell ref="C27:E28"/>
    <mergeCell ref="L27:M28"/>
    <mergeCell ref="C33:E34"/>
    <mergeCell ref="C41:E42"/>
    <mergeCell ref="L41:M42"/>
    <mergeCell ref="F41:H42"/>
    <mergeCell ref="C37:E38"/>
    <mergeCell ref="L37:M38"/>
    <mergeCell ref="F37:H38"/>
    <mergeCell ref="I39:K40"/>
    <mergeCell ref="I41:K42"/>
    <mergeCell ref="F25:H26"/>
    <mergeCell ref="C25:E26"/>
    <mergeCell ref="L33:M34"/>
    <mergeCell ref="L31:M32"/>
    <mergeCell ref="C31:E32"/>
    <mergeCell ref="C29:E30"/>
    <mergeCell ref="L29:M30"/>
    <mergeCell ref="F17:H18"/>
    <mergeCell ref="F21:H22"/>
    <mergeCell ref="L23:M24"/>
    <mergeCell ref="C21:E22"/>
    <mergeCell ref="L21:M22"/>
    <mergeCell ref="F23:H24"/>
    <mergeCell ref="C23:E24"/>
    <mergeCell ref="F19:H20"/>
    <mergeCell ref="C19:E20"/>
    <mergeCell ref="C17:E18"/>
    <mergeCell ref="L17:M18"/>
    <mergeCell ref="AB3:AE4"/>
    <mergeCell ref="AB40:AF41"/>
    <mergeCell ref="AU48:AY49"/>
    <mergeCell ref="BD16:BD17"/>
    <mergeCell ref="BD18:BD19"/>
    <mergeCell ref="BD20:BD21"/>
    <mergeCell ref="AO9:AU10"/>
    <mergeCell ref="BD12:BD13"/>
    <mergeCell ref="BD14:BD15"/>
    <mergeCell ref="AT48:AT49"/>
    <mergeCell ref="AM48:AS49"/>
    <mergeCell ref="BC24:BF25"/>
    <mergeCell ref="AW20:AW21"/>
    <mergeCell ref="AW22:AW23"/>
    <mergeCell ref="AP18:AP19"/>
    <mergeCell ref="AW12:AW13"/>
    <mergeCell ref="AP12:AP13"/>
    <mergeCell ref="AP14:AP15"/>
    <mergeCell ref="AP16:AP17"/>
  </mergeCells>
  <phoneticPr fontId="1"/>
  <pageMargins left="0.25" right="0.25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B8:AL32"/>
  <sheetViews>
    <sheetView showGridLines="0" workbookViewId="0">
      <selection activeCell="V15" sqref="V15"/>
    </sheetView>
  </sheetViews>
  <sheetFormatPr defaultColWidth="4.5703125" defaultRowHeight="15"/>
  <sheetData>
    <row r="8" spans="22:22">
      <c r="V8" s="1"/>
    </row>
    <row r="9" spans="22:22">
      <c r="V9" s="1"/>
    </row>
    <row r="10" spans="22:22">
      <c r="V10" s="1"/>
    </row>
    <row r="11" spans="22:22">
      <c r="V11" s="1"/>
    </row>
    <row r="12" spans="22:22">
      <c r="V12" s="1"/>
    </row>
    <row r="17" spans="2:38">
      <c r="B17" t="s">
        <v>103</v>
      </c>
    </row>
    <row r="18" spans="2:38">
      <c r="AF18" s="67"/>
    </row>
    <row r="19" spans="2:38" ht="16.5">
      <c r="AB19" s="70" t="s">
        <v>28</v>
      </c>
      <c r="AC19" s="69"/>
      <c r="AD19" s="69"/>
      <c r="AE19" s="69"/>
      <c r="AF19" s="69"/>
      <c r="AG19" s="69"/>
      <c r="AH19" s="69"/>
      <c r="AI19" s="69"/>
      <c r="AJ19" s="69"/>
      <c r="AK19" s="69"/>
      <c r="AL19" s="69"/>
    </row>
    <row r="20" spans="2:38" ht="16.5">
      <c r="AB20" s="70" t="s">
        <v>95</v>
      </c>
      <c r="AC20" s="69"/>
      <c r="AD20" s="69"/>
      <c r="AE20" s="69"/>
      <c r="AF20" s="69"/>
      <c r="AG20" s="69"/>
      <c r="AH20" s="69"/>
      <c r="AI20" s="69"/>
      <c r="AJ20" s="69"/>
      <c r="AK20" s="69"/>
      <c r="AL20" s="69"/>
    </row>
    <row r="21" spans="2:38" ht="16.5">
      <c r="AB21" s="70" t="s">
        <v>96</v>
      </c>
      <c r="AC21" s="69"/>
      <c r="AD21" s="69"/>
      <c r="AE21" s="69"/>
      <c r="AF21" s="69"/>
      <c r="AG21" s="69"/>
      <c r="AH21" s="69"/>
      <c r="AI21" s="69"/>
      <c r="AJ21" s="69"/>
      <c r="AK21" s="69"/>
      <c r="AL21" s="69"/>
    </row>
    <row r="22" spans="2:38" ht="16.5">
      <c r="AB22" s="70" t="s">
        <v>97</v>
      </c>
      <c r="AC22" s="69"/>
      <c r="AD22" s="69"/>
      <c r="AE22" s="69"/>
      <c r="AF22" s="69"/>
      <c r="AG22" s="69"/>
      <c r="AH22" s="69"/>
      <c r="AI22" s="69"/>
      <c r="AJ22" s="69"/>
      <c r="AK22" s="69"/>
      <c r="AL22" s="69"/>
    </row>
    <row r="23" spans="2:38" ht="16.5">
      <c r="AB23" s="70" t="s">
        <v>98</v>
      </c>
      <c r="AC23" s="69"/>
      <c r="AD23" s="69"/>
      <c r="AE23" s="69"/>
      <c r="AF23" s="69"/>
      <c r="AG23" s="69"/>
      <c r="AH23" s="69"/>
      <c r="AI23" s="69"/>
      <c r="AJ23" s="69"/>
      <c r="AK23" s="69"/>
      <c r="AL23" s="69"/>
    </row>
    <row r="24" spans="2:38" ht="16.5">
      <c r="AB24" s="70" t="s">
        <v>99</v>
      </c>
      <c r="AC24" s="69"/>
      <c r="AD24" s="69"/>
      <c r="AE24" s="69"/>
      <c r="AF24" s="69"/>
      <c r="AG24" s="69"/>
      <c r="AH24" s="69"/>
      <c r="AI24" s="69"/>
      <c r="AJ24" s="69"/>
      <c r="AK24" s="69"/>
      <c r="AL24" s="69"/>
    </row>
    <row r="25" spans="2:38" ht="16.5">
      <c r="AB25" s="70" t="s">
        <v>100</v>
      </c>
      <c r="AC25" s="69"/>
      <c r="AD25" s="69"/>
      <c r="AE25" s="69"/>
      <c r="AF25" s="69"/>
      <c r="AG25" s="69"/>
      <c r="AH25" s="69"/>
      <c r="AI25" s="69"/>
      <c r="AJ25" s="69"/>
      <c r="AK25" s="69"/>
      <c r="AL25" s="69"/>
    </row>
    <row r="26" spans="2:38" ht="16.5">
      <c r="AB26" s="70" t="s">
        <v>101</v>
      </c>
      <c r="AC26" s="69"/>
      <c r="AD26" s="69"/>
      <c r="AE26" s="69"/>
      <c r="AF26" s="69"/>
      <c r="AG26" s="69"/>
      <c r="AH26" s="69"/>
      <c r="AI26" s="69"/>
      <c r="AJ26" s="69"/>
      <c r="AK26" s="69"/>
      <c r="AL26" s="69"/>
    </row>
    <row r="27" spans="2:38" ht="16.5">
      <c r="AB27" s="70" t="s">
        <v>108</v>
      </c>
      <c r="AC27" s="69"/>
      <c r="AD27" s="69"/>
      <c r="AE27" s="69"/>
      <c r="AF27" s="69"/>
      <c r="AG27" s="69"/>
      <c r="AH27" s="69"/>
      <c r="AI27" s="69"/>
      <c r="AJ27" s="69"/>
      <c r="AK27" s="69"/>
      <c r="AL27" s="69"/>
    </row>
    <row r="28" spans="2:38" ht="16.5">
      <c r="AB28" s="71" t="s">
        <v>109</v>
      </c>
      <c r="AC28" s="69"/>
      <c r="AD28" s="69"/>
      <c r="AE28" s="69"/>
      <c r="AF28" s="69"/>
      <c r="AG28" s="69"/>
      <c r="AH28" s="69"/>
      <c r="AI28" s="69"/>
      <c r="AJ28" s="69"/>
      <c r="AK28" s="69"/>
      <c r="AL28" s="69"/>
    </row>
    <row r="29" spans="2:38" ht="16.5">
      <c r="AB29" s="70" t="s">
        <v>102</v>
      </c>
      <c r="AC29" s="69"/>
      <c r="AD29" s="69"/>
      <c r="AE29" s="69"/>
      <c r="AF29" s="69"/>
      <c r="AG29" s="69"/>
      <c r="AH29" s="69"/>
      <c r="AI29" s="69"/>
      <c r="AJ29" s="69"/>
      <c r="AK29" s="69"/>
      <c r="AL29" s="69"/>
    </row>
    <row r="32" spans="2:38">
      <c r="AB32" s="68"/>
    </row>
  </sheetData>
  <phoneticPr fontId="1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L36"/>
  <sheetViews>
    <sheetView workbookViewId="0">
      <pane ySplit="1" topLeftCell="A2" activePane="bottomLeft" state="frozenSplit"/>
      <selection pane="bottomLeft" activeCell="J3" sqref="J3"/>
    </sheetView>
  </sheetViews>
  <sheetFormatPr defaultColWidth="19.7109375" defaultRowHeight="15"/>
  <cols>
    <col min="1" max="1" width="17.5703125" customWidth="1"/>
    <col min="2" max="2" width="15.42578125" customWidth="1"/>
    <col min="3" max="3" width="9.28515625" style="88" customWidth="1"/>
    <col min="4" max="5" width="5.42578125" bestFit="1" customWidth="1"/>
    <col min="6" max="7" width="7.5703125" customWidth="1"/>
    <col min="8" max="8" width="5.42578125" bestFit="1" customWidth="1"/>
    <col min="9" max="9" width="9.28515625" style="88" customWidth="1"/>
    <col min="10" max="10" width="27.5703125" style="117" customWidth="1"/>
    <col min="11" max="11" width="7.140625" bestFit="1" customWidth="1"/>
  </cols>
  <sheetData>
    <row r="1" spans="1:12" s="59" customFormat="1" ht="59.25" customHeight="1">
      <c r="A1" s="114" t="s">
        <v>203</v>
      </c>
      <c r="B1" s="114" t="s">
        <v>281</v>
      </c>
      <c r="C1" s="115" t="s">
        <v>200</v>
      </c>
      <c r="D1" s="114" t="s">
        <v>12</v>
      </c>
      <c r="E1" s="114" t="s">
        <v>13</v>
      </c>
      <c r="H1" s="114" t="s">
        <v>195</v>
      </c>
      <c r="I1" s="115" t="s">
        <v>196</v>
      </c>
      <c r="J1" s="114" t="s">
        <v>14</v>
      </c>
      <c r="K1" s="114" t="s">
        <v>15</v>
      </c>
      <c r="L1" s="114" t="s">
        <v>197</v>
      </c>
    </row>
    <row r="2" spans="1:12">
      <c r="A2" s="83" t="s">
        <v>16</v>
      </c>
      <c r="B2" s="83" t="s">
        <v>192</v>
      </c>
      <c r="C2" s="87">
        <v>140</v>
      </c>
      <c r="D2" s="85">
        <v>0.1</v>
      </c>
      <c r="E2" s="85">
        <v>0.4</v>
      </c>
      <c r="H2" s="83" t="s">
        <v>46</v>
      </c>
      <c r="I2" s="87">
        <v>10</v>
      </c>
      <c r="J2" s="116" t="s">
        <v>282</v>
      </c>
      <c r="K2" s="84">
        <v>0</v>
      </c>
      <c r="L2" s="86" t="s">
        <v>198</v>
      </c>
    </row>
    <row r="3" spans="1:12" ht="30">
      <c r="A3" s="83" t="s">
        <v>16</v>
      </c>
      <c r="B3" s="83" t="s">
        <v>192</v>
      </c>
      <c r="C3" s="87">
        <v>150</v>
      </c>
      <c r="D3" s="85">
        <v>0</v>
      </c>
      <c r="E3" s="85">
        <v>0.1</v>
      </c>
      <c r="H3" s="83" t="s">
        <v>46</v>
      </c>
      <c r="I3" s="87">
        <v>20</v>
      </c>
      <c r="J3" s="116" t="s">
        <v>283</v>
      </c>
      <c r="K3" s="84">
        <v>0</v>
      </c>
      <c r="L3" s="86" t="s">
        <v>198</v>
      </c>
    </row>
    <row r="4" spans="1:12" ht="30">
      <c r="A4" s="83" t="s">
        <v>16</v>
      </c>
      <c r="B4" s="83" t="s">
        <v>192</v>
      </c>
      <c r="C4" s="87">
        <v>160</v>
      </c>
      <c r="D4" s="85">
        <v>0</v>
      </c>
      <c r="E4" s="85">
        <v>0</v>
      </c>
      <c r="H4" s="83" t="s">
        <v>46</v>
      </c>
      <c r="I4" s="87">
        <v>30</v>
      </c>
      <c r="J4" s="116" t="s">
        <v>284</v>
      </c>
      <c r="K4" s="84">
        <v>0</v>
      </c>
      <c r="L4" s="86" t="s">
        <v>198</v>
      </c>
    </row>
    <row r="5" spans="1:12">
      <c r="A5" s="83" t="s">
        <v>193</v>
      </c>
      <c r="B5" s="83" t="s">
        <v>192</v>
      </c>
      <c r="C5" s="87">
        <v>10</v>
      </c>
      <c r="D5" s="85">
        <v>2.4</v>
      </c>
      <c r="E5" s="85">
        <v>0</v>
      </c>
      <c r="H5" s="83" t="s">
        <v>46</v>
      </c>
      <c r="I5" s="87">
        <v>40</v>
      </c>
      <c r="J5" s="116" t="s">
        <v>285</v>
      </c>
      <c r="K5" s="84">
        <v>0</v>
      </c>
      <c r="L5" s="86" t="s">
        <v>198</v>
      </c>
    </row>
    <row r="6" spans="1:12">
      <c r="A6" s="83" t="s">
        <v>193</v>
      </c>
      <c r="B6" s="83" t="s">
        <v>192</v>
      </c>
      <c r="C6" s="87">
        <v>20</v>
      </c>
      <c r="D6" s="85">
        <v>67</v>
      </c>
      <c r="E6" s="85">
        <v>87</v>
      </c>
      <c r="H6" s="83" t="s">
        <v>46</v>
      </c>
      <c r="I6" s="87">
        <v>50</v>
      </c>
      <c r="J6" s="116" t="s">
        <v>17</v>
      </c>
      <c r="K6" s="84">
        <v>1</v>
      </c>
      <c r="L6" s="86" t="s">
        <v>198</v>
      </c>
    </row>
    <row r="7" spans="1:12">
      <c r="A7" s="83" t="s">
        <v>193</v>
      </c>
      <c r="B7" s="83" t="s">
        <v>192</v>
      </c>
      <c r="C7" s="87">
        <v>30</v>
      </c>
      <c r="D7" s="85">
        <v>0.2</v>
      </c>
      <c r="E7" s="85">
        <v>5</v>
      </c>
      <c r="H7" s="83" t="s">
        <v>46</v>
      </c>
      <c r="I7" s="87">
        <v>60</v>
      </c>
      <c r="J7" s="116" t="s">
        <v>18</v>
      </c>
      <c r="K7" s="84">
        <v>1</v>
      </c>
      <c r="L7" s="86" t="s">
        <v>198</v>
      </c>
    </row>
    <row r="8" spans="1:12">
      <c r="A8" s="83" t="s">
        <v>193</v>
      </c>
      <c r="B8" s="83" t="s">
        <v>192</v>
      </c>
      <c r="C8" s="87">
        <v>40</v>
      </c>
      <c r="D8" s="85">
        <v>93</v>
      </c>
      <c r="E8" s="85">
        <v>103</v>
      </c>
      <c r="H8" s="83" t="s">
        <v>46</v>
      </c>
      <c r="I8" s="87">
        <v>70</v>
      </c>
      <c r="J8" s="116" t="s">
        <v>19</v>
      </c>
      <c r="K8" s="84">
        <v>1</v>
      </c>
      <c r="L8" s="86" t="s">
        <v>198</v>
      </c>
    </row>
    <row r="9" spans="1:12">
      <c r="A9" s="83" t="s">
        <v>193</v>
      </c>
      <c r="B9" s="83" t="s">
        <v>192</v>
      </c>
      <c r="C9" s="87">
        <v>50</v>
      </c>
      <c r="D9" s="85">
        <v>0</v>
      </c>
      <c r="E9" s="85">
        <v>0</v>
      </c>
      <c r="H9" s="83" t="s">
        <v>46</v>
      </c>
      <c r="I9" s="87">
        <v>80</v>
      </c>
      <c r="J9" s="116" t="s">
        <v>20</v>
      </c>
      <c r="K9" s="84">
        <v>1</v>
      </c>
      <c r="L9" s="86" t="s">
        <v>198</v>
      </c>
    </row>
    <row r="10" spans="1:12">
      <c r="A10" s="83" t="s">
        <v>193</v>
      </c>
      <c r="B10" s="83" t="s">
        <v>192</v>
      </c>
      <c r="C10" s="87">
        <v>60</v>
      </c>
      <c r="D10" s="85">
        <v>0</v>
      </c>
      <c r="E10" s="85">
        <v>0.1</v>
      </c>
      <c r="H10" s="83" t="s">
        <v>46</v>
      </c>
      <c r="I10" s="87">
        <v>90</v>
      </c>
      <c r="J10" s="116" t="s">
        <v>21</v>
      </c>
      <c r="K10" s="84">
        <v>1</v>
      </c>
      <c r="L10" s="86" t="s">
        <v>198</v>
      </c>
    </row>
    <row r="11" spans="1:12">
      <c r="A11" s="83" t="s">
        <v>193</v>
      </c>
      <c r="B11" s="83" t="s">
        <v>192</v>
      </c>
      <c r="C11" s="87">
        <v>70</v>
      </c>
      <c r="D11" s="85">
        <v>0</v>
      </c>
      <c r="E11" s="85">
        <v>0.3</v>
      </c>
      <c r="H11" s="83" t="s">
        <v>46</v>
      </c>
      <c r="I11" s="87">
        <v>100</v>
      </c>
      <c r="J11" s="116" t="s">
        <v>22</v>
      </c>
      <c r="K11" s="84">
        <v>1</v>
      </c>
      <c r="L11" s="86" t="s">
        <v>198</v>
      </c>
    </row>
    <row r="12" spans="1:12">
      <c r="A12" s="83" t="s">
        <v>193</v>
      </c>
      <c r="B12" s="83" t="s">
        <v>192</v>
      </c>
      <c r="C12" s="87">
        <v>80</v>
      </c>
      <c r="D12" s="85">
        <v>1.8</v>
      </c>
      <c r="E12" s="85">
        <v>5</v>
      </c>
      <c r="H12" s="83" t="s">
        <v>46</v>
      </c>
      <c r="I12" s="87">
        <v>110</v>
      </c>
      <c r="J12" s="116" t="s">
        <v>23</v>
      </c>
      <c r="K12" s="84">
        <v>1</v>
      </c>
      <c r="L12" s="86" t="s">
        <v>198</v>
      </c>
    </row>
    <row r="13" spans="1:12">
      <c r="A13" s="83" t="s">
        <v>193</v>
      </c>
      <c r="B13" s="83" t="s">
        <v>192</v>
      </c>
      <c r="C13" s="87">
        <v>90</v>
      </c>
      <c r="D13" s="85">
        <v>15.5</v>
      </c>
      <c r="E13" s="85">
        <v>21</v>
      </c>
      <c r="H13" s="83" t="s">
        <v>46</v>
      </c>
      <c r="I13" s="87">
        <v>120</v>
      </c>
      <c r="J13" s="116" t="s">
        <v>24</v>
      </c>
      <c r="K13" s="84">
        <v>1</v>
      </c>
      <c r="L13" s="86" t="s">
        <v>198</v>
      </c>
    </row>
    <row r="14" spans="1:12">
      <c r="A14" s="83" t="s">
        <v>193</v>
      </c>
      <c r="B14" s="83" t="s">
        <v>192</v>
      </c>
      <c r="C14" s="87">
        <v>100</v>
      </c>
      <c r="D14" s="85">
        <v>28</v>
      </c>
      <c r="E14" s="85">
        <v>40</v>
      </c>
      <c r="H14" s="83" t="s">
        <v>46</v>
      </c>
      <c r="I14" s="87">
        <v>130</v>
      </c>
      <c r="J14" s="116" t="s">
        <v>25</v>
      </c>
      <c r="K14" s="84">
        <v>1</v>
      </c>
      <c r="L14" s="86" t="s">
        <v>198</v>
      </c>
    </row>
    <row r="15" spans="1:12">
      <c r="A15" s="83" t="s">
        <v>193</v>
      </c>
      <c r="B15" s="83" t="s">
        <v>192</v>
      </c>
      <c r="C15" s="87">
        <v>110</v>
      </c>
      <c r="D15" s="85">
        <v>25</v>
      </c>
      <c r="E15" s="85">
        <v>35</v>
      </c>
      <c r="H15" s="83" t="s">
        <v>46</v>
      </c>
      <c r="I15" s="87">
        <v>140</v>
      </c>
      <c r="J15" s="116" t="s">
        <v>26</v>
      </c>
      <c r="K15" s="84">
        <v>1</v>
      </c>
      <c r="L15" s="86" t="s">
        <v>198</v>
      </c>
    </row>
    <row r="16" spans="1:12">
      <c r="A16" s="83" t="s">
        <v>193</v>
      </c>
      <c r="B16" s="83" t="s">
        <v>192</v>
      </c>
      <c r="C16" s="87">
        <v>120</v>
      </c>
      <c r="D16" s="85">
        <v>2.5</v>
      </c>
      <c r="E16" s="85">
        <v>7</v>
      </c>
      <c r="H16" s="83" t="s">
        <v>46</v>
      </c>
      <c r="I16" s="87">
        <v>150</v>
      </c>
      <c r="J16" s="116" t="s">
        <v>27</v>
      </c>
      <c r="K16" s="84">
        <v>1</v>
      </c>
      <c r="L16" s="86" t="s">
        <v>198</v>
      </c>
    </row>
    <row r="17" spans="1:12">
      <c r="A17" s="83" t="s">
        <v>193</v>
      </c>
      <c r="B17" s="83" t="s">
        <v>192</v>
      </c>
      <c r="C17" s="87">
        <v>130</v>
      </c>
      <c r="D17" s="85">
        <v>1.5</v>
      </c>
      <c r="E17" s="85">
        <v>3</v>
      </c>
      <c r="H17" s="83" t="s">
        <v>46</v>
      </c>
      <c r="I17" s="87">
        <v>160</v>
      </c>
      <c r="J17" s="116" t="s">
        <v>199</v>
      </c>
      <c r="K17" s="84">
        <v>0</v>
      </c>
      <c r="L17" s="86" t="s">
        <v>198</v>
      </c>
    </row>
    <row r="18" spans="1:12">
      <c r="A18" s="83" t="s">
        <v>193</v>
      </c>
      <c r="B18" s="83" t="s">
        <v>192</v>
      </c>
      <c r="C18" s="87">
        <v>140</v>
      </c>
      <c r="D18" s="85">
        <v>0</v>
      </c>
      <c r="E18" s="85">
        <v>0.8</v>
      </c>
    </row>
    <row r="19" spans="1:12">
      <c r="A19" s="83" t="s">
        <v>193</v>
      </c>
      <c r="B19" s="83" t="s">
        <v>192</v>
      </c>
      <c r="C19" s="87">
        <v>150</v>
      </c>
      <c r="D19" s="85">
        <v>0</v>
      </c>
      <c r="E19" s="85">
        <v>0.1</v>
      </c>
    </row>
    <row r="20" spans="1:12">
      <c r="A20" s="83" t="s">
        <v>193</v>
      </c>
      <c r="B20" s="83" t="s">
        <v>192</v>
      </c>
      <c r="C20" s="87">
        <v>160</v>
      </c>
      <c r="D20" s="85">
        <v>0</v>
      </c>
      <c r="E20" s="85">
        <v>0</v>
      </c>
    </row>
    <row r="21" spans="1:12">
      <c r="A21" s="83" t="s">
        <v>194</v>
      </c>
      <c r="B21" s="83" t="s">
        <v>192</v>
      </c>
      <c r="C21" s="87">
        <v>10</v>
      </c>
      <c r="D21" s="85">
        <v>3.5</v>
      </c>
      <c r="E21" s="85">
        <v>0</v>
      </c>
    </row>
    <row r="22" spans="1:12">
      <c r="A22" s="83" t="s">
        <v>194</v>
      </c>
      <c r="B22" s="83" t="s">
        <v>192</v>
      </c>
      <c r="C22" s="87">
        <v>20</v>
      </c>
      <c r="D22" s="85">
        <v>46</v>
      </c>
      <c r="E22" s="85">
        <v>66</v>
      </c>
    </row>
    <row r="23" spans="1:12">
      <c r="A23" s="83" t="s">
        <v>194</v>
      </c>
      <c r="B23" s="83" t="s">
        <v>192</v>
      </c>
      <c r="C23" s="87">
        <v>30</v>
      </c>
      <c r="D23" s="85">
        <v>0.8</v>
      </c>
      <c r="E23" s="85">
        <v>6</v>
      </c>
    </row>
    <row r="24" spans="1:12">
      <c r="A24" s="83" t="s">
        <v>194</v>
      </c>
      <c r="B24" s="83" t="s">
        <v>192</v>
      </c>
      <c r="C24" s="87">
        <v>40</v>
      </c>
      <c r="D24" s="85">
        <v>88</v>
      </c>
      <c r="E24" s="85">
        <v>100</v>
      </c>
    </row>
    <row r="25" spans="1:12">
      <c r="A25" s="83" t="s">
        <v>194</v>
      </c>
      <c r="B25" s="83" t="s">
        <v>192</v>
      </c>
      <c r="C25" s="87">
        <v>50</v>
      </c>
      <c r="D25" s="85">
        <v>0</v>
      </c>
      <c r="E25" s="85">
        <v>0</v>
      </c>
    </row>
    <row r="26" spans="1:12">
      <c r="A26" s="83" t="s">
        <v>194</v>
      </c>
      <c r="B26" s="83" t="s">
        <v>192</v>
      </c>
      <c r="C26" s="87">
        <v>60</v>
      </c>
      <c r="D26" s="85">
        <v>0</v>
      </c>
      <c r="E26" s="85">
        <v>0</v>
      </c>
    </row>
    <row r="27" spans="1:12">
      <c r="A27" s="83" t="s">
        <v>194</v>
      </c>
      <c r="B27" s="83" t="s">
        <v>192</v>
      </c>
      <c r="C27" s="87">
        <v>70</v>
      </c>
      <c r="D27" s="85">
        <v>0</v>
      </c>
      <c r="E27" s="85">
        <v>0</v>
      </c>
    </row>
    <row r="28" spans="1:12">
      <c r="A28" s="83" t="s">
        <v>194</v>
      </c>
      <c r="B28" s="83" t="s">
        <v>192</v>
      </c>
      <c r="C28" s="87">
        <v>80</v>
      </c>
      <c r="D28" s="85">
        <v>0</v>
      </c>
      <c r="E28" s="85">
        <v>0.3</v>
      </c>
    </row>
    <row r="29" spans="1:12">
      <c r="A29" s="83" t="s">
        <v>194</v>
      </c>
      <c r="B29" s="83" t="s">
        <v>192</v>
      </c>
      <c r="C29" s="87">
        <v>90</v>
      </c>
      <c r="D29" s="85">
        <v>0.3</v>
      </c>
      <c r="E29" s="85">
        <v>1</v>
      </c>
    </row>
    <row r="30" spans="1:12">
      <c r="A30" s="83" t="s">
        <v>194</v>
      </c>
      <c r="B30" s="83" t="s">
        <v>192</v>
      </c>
      <c r="C30" s="87">
        <v>100</v>
      </c>
      <c r="D30" s="85">
        <v>1</v>
      </c>
      <c r="E30" s="85">
        <v>4</v>
      </c>
    </row>
    <row r="31" spans="1:12">
      <c r="A31" s="83" t="s">
        <v>194</v>
      </c>
      <c r="B31" s="83" t="s">
        <v>192</v>
      </c>
      <c r="C31" s="87">
        <v>110</v>
      </c>
      <c r="D31" s="85">
        <v>10</v>
      </c>
      <c r="E31" s="85">
        <v>16</v>
      </c>
    </row>
    <row r="32" spans="1:12">
      <c r="A32" s="83" t="s">
        <v>194</v>
      </c>
      <c r="B32" s="83" t="s">
        <v>192</v>
      </c>
      <c r="C32" s="87">
        <v>120</v>
      </c>
      <c r="D32" s="85">
        <v>45</v>
      </c>
      <c r="E32" s="85">
        <v>56</v>
      </c>
    </row>
    <row r="33" spans="1:5">
      <c r="A33" s="83" t="s">
        <v>194</v>
      </c>
      <c r="B33" s="83" t="s">
        <v>192</v>
      </c>
      <c r="C33" s="87">
        <v>130</v>
      </c>
      <c r="D33" s="85">
        <v>25</v>
      </c>
      <c r="E33" s="85">
        <v>35</v>
      </c>
    </row>
    <row r="34" spans="1:5">
      <c r="A34" s="83" t="s">
        <v>194</v>
      </c>
      <c r="B34" s="83" t="s">
        <v>192</v>
      </c>
      <c r="C34" s="87">
        <v>140</v>
      </c>
      <c r="D34" s="85">
        <v>4</v>
      </c>
      <c r="E34" s="85">
        <v>11</v>
      </c>
    </row>
    <row r="35" spans="1:5">
      <c r="A35" s="83" t="s">
        <v>194</v>
      </c>
      <c r="B35" s="83" t="s">
        <v>192</v>
      </c>
      <c r="C35" s="87">
        <v>150</v>
      </c>
      <c r="D35" s="85">
        <v>0.5</v>
      </c>
      <c r="E35" s="85">
        <v>1.5</v>
      </c>
    </row>
    <row r="36" spans="1:5">
      <c r="A36" s="83" t="s">
        <v>194</v>
      </c>
      <c r="B36" s="83" t="s">
        <v>192</v>
      </c>
      <c r="C36" s="87">
        <v>160</v>
      </c>
      <c r="D36" s="85">
        <v>0</v>
      </c>
      <c r="E36" s="85">
        <v>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B3:AG57"/>
  <sheetViews>
    <sheetView showGridLines="0" view="pageBreakPreview" zoomScale="115" zoomScaleNormal="100" zoomScaleSheetLayoutView="115" workbookViewId="0">
      <selection activeCell="T13" sqref="T13"/>
    </sheetView>
  </sheetViews>
  <sheetFormatPr defaultColWidth="2.5703125" defaultRowHeight="9.9499999999999993" customHeight="1"/>
  <cols>
    <col min="5" max="5" width="3.42578125" bestFit="1" customWidth="1"/>
    <col min="8" max="8" width="6.140625" customWidth="1"/>
    <col min="9" max="9" width="6.28515625" customWidth="1"/>
  </cols>
  <sheetData>
    <row r="3" spans="2:33" ht="9.9499999999999993" customHeight="1">
      <c r="B3" s="194" t="s">
        <v>278</v>
      </c>
      <c r="C3" s="195"/>
      <c r="D3" s="195"/>
      <c r="E3" s="195"/>
      <c r="F3" s="195"/>
      <c r="G3" s="195"/>
      <c r="H3" s="195"/>
      <c r="J3" s="267"/>
      <c r="K3" s="268"/>
      <c r="L3" s="268"/>
      <c r="M3" s="268"/>
      <c r="N3" s="268"/>
      <c r="O3" s="269"/>
    </row>
    <row r="4" spans="2:33" ht="9.9499999999999993" customHeight="1">
      <c r="B4" s="195"/>
      <c r="C4" s="195"/>
      <c r="D4" s="195"/>
      <c r="E4" s="195"/>
      <c r="F4" s="195"/>
      <c r="G4" s="195"/>
      <c r="H4" s="195"/>
      <c r="J4" s="270"/>
      <c r="K4" s="271"/>
      <c r="L4" s="271"/>
      <c r="M4" s="271"/>
      <c r="N4" s="271"/>
      <c r="O4" s="272"/>
    </row>
    <row r="5" spans="2:33" ht="9.9499999999999993" customHeight="1">
      <c r="B5" s="195"/>
      <c r="C5" s="195"/>
      <c r="D5" s="195"/>
      <c r="E5" s="195"/>
      <c r="F5" s="195"/>
      <c r="G5" s="195"/>
      <c r="H5" s="195"/>
      <c r="J5" s="267"/>
      <c r="K5" s="268"/>
      <c r="L5" s="268"/>
      <c r="M5" s="268"/>
      <c r="N5" s="268"/>
      <c r="O5" s="269"/>
    </row>
    <row r="6" spans="2:33" ht="9.9499999999999993" customHeight="1">
      <c r="B6" s="195"/>
      <c r="C6" s="195"/>
      <c r="D6" s="195"/>
      <c r="E6" s="195"/>
      <c r="F6" s="195"/>
      <c r="G6" s="195"/>
      <c r="H6" s="195"/>
      <c r="J6" s="270"/>
      <c r="K6" s="271"/>
      <c r="L6" s="271"/>
      <c r="M6" s="271"/>
      <c r="N6" s="271"/>
      <c r="O6" s="272"/>
    </row>
    <row r="7" spans="2:33" ht="9.9499999999999993" customHeight="1">
      <c r="J7" s="267"/>
      <c r="K7" s="268"/>
      <c r="L7" s="268"/>
      <c r="M7" s="268"/>
      <c r="N7" s="268"/>
      <c r="O7" s="269"/>
      <c r="S7" s="210" t="s">
        <v>280</v>
      </c>
      <c r="T7" s="211"/>
      <c r="U7" s="211"/>
      <c r="V7" s="212"/>
    </row>
    <row r="8" spans="2:33" ht="15" customHeight="1">
      <c r="J8" s="270"/>
      <c r="K8" s="271"/>
      <c r="L8" s="271"/>
      <c r="M8" s="271"/>
      <c r="N8" s="271"/>
      <c r="O8" s="272"/>
      <c r="S8" s="213"/>
      <c r="T8" s="214"/>
      <c r="U8" s="214"/>
      <c r="V8" s="215"/>
    </row>
    <row r="12" spans="2:33" ht="9.9499999999999993" customHeight="1" thickBot="1"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</row>
    <row r="13" spans="2:33" ht="9.9499999999999993" customHeight="1" thickTop="1"/>
    <row r="15" spans="2:33" ht="9.9499999999999993" customHeight="1">
      <c r="C15" s="194" t="s">
        <v>279</v>
      </c>
      <c r="D15" s="195"/>
      <c r="E15" s="195"/>
      <c r="F15" s="195"/>
      <c r="G15" s="195"/>
      <c r="H15" s="195"/>
      <c r="I15" s="195"/>
      <c r="AD15" s="210" t="s">
        <v>280</v>
      </c>
      <c r="AE15" s="211"/>
      <c r="AF15" s="211"/>
      <c r="AG15" s="212"/>
    </row>
    <row r="16" spans="2:33" ht="27.75" customHeight="1">
      <c r="C16" s="195"/>
      <c r="D16" s="195"/>
      <c r="E16" s="195"/>
      <c r="F16" s="195"/>
      <c r="G16" s="195"/>
      <c r="H16" s="195"/>
      <c r="I16" s="195"/>
      <c r="AD16" s="213"/>
      <c r="AE16" s="214"/>
      <c r="AF16" s="214"/>
      <c r="AG16" s="215"/>
    </row>
    <row r="18" spans="5:33" ht="9.9499999999999993" customHeight="1">
      <c r="E18" s="1">
        <v>1</v>
      </c>
      <c r="F18" s="273"/>
      <c r="G18" s="274"/>
      <c r="H18" s="274"/>
      <c r="I18" s="274"/>
      <c r="J18" s="274"/>
      <c r="K18" s="274"/>
      <c r="L18" s="274"/>
      <c r="M18" s="274"/>
      <c r="N18" s="274"/>
      <c r="O18" s="274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  <c r="AA18" s="274"/>
      <c r="AB18" s="274"/>
      <c r="AC18" s="274"/>
      <c r="AD18" s="274"/>
      <c r="AE18" s="274"/>
      <c r="AF18" s="274"/>
      <c r="AG18" s="275"/>
    </row>
    <row r="19" spans="5:33" ht="9.9499999999999993" customHeight="1">
      <c r="F19" s="273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  <c r="AA19" s="274"/>
      <c r="AB19" s="274"/>
      <c r="AC19" s="274"/>
      <c r="AD19" s="274"/>
      <c r="AE19" s="274"/>
      <c r="AF19" s="274"/>
      <c r="AG19" s="275"/>
    </row>
    <row r="20" spans="5:33" ht="9.9499999999999993" customHeight="1">
      <c r="F20" s="273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74"/>
      <c r="AB20" s="274"/>
      <c r="AC20" s="274"/>
      <c r="AD20" s="274"/>
      <c r="AE20" s="274"/>
      <c r="AF20" s="274"/>
      <c r="AG20" s="275"/>
    </row>
    <row r="21" spans="5:33" ht="9.9499999999999993" customHeight="1">
      <c r="E21" s="74"/>
      <c r="F21" s="273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  <c r="AA21" s="274"/>
      <c r="AB21" s="274"/>
      <c r="AC21" s="274"/>
      <c r="AD21" s="274"/>
      <c r="AE21" s="274"/>
      <c r="AF21" s="274"/>
      <c r="AG21" s="275"/>
    </row>
    <row r="22" spans="5:33" ht="9.9499999999999993" customHeight="1">
      <c r="E22" s="1">
        <v>2</v>
      </c>
      <c r="F22" s="273"/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74"/>
      <c r="R22" s="274"/>
      <c r="S22" s="274"/>
      <c r="T22" s="274"/>
      <c r="U22" s="274"/>
      <c r="V22" s="274"/>
      <c r="W22" s="274"/>
      <c r="X22" s="274"/>
      <c r="Y22" s="274"/>
      <c r="Z22" s="274"/>
      <c r="AA22" s="274"/>
      <c r="AB22" s="274"/>
      <c r="AC22" s="274"/>
      <c r="AD22" s="274"/>
      <c r="AE22" s="274"/>
      <c r="AF22" s="274"/>
      <c r="AG22" s="275"/>
    </row>
    <row r="23" spans="5:33" ht="9.9499999999999993" customHeight="1">
      <c r="F23" s="273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274"/>
      <c r="AC23" s="274"/>
      <c r="AD23" s="274"/>
      <c r="AE23" s="274"/>
      <c r="AF23" s="274"/>
      <c r="AG23" s="275"/>
    </row>
    <row r="24" spans="5:33" ht="9.9499999999999993" customHeight="1">
      <c r="F24" s="273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  <c r="AA24" s="274"/>
      <c r="AB24" s="274"/>
      <c r="AC24" s="274"/>
      <c r="AD24" s="274"/>
      <c r="AE24" s="274"/>
      <c r="AF24" s="274"/>
      <c r="AG24" s="275"/>
    </row>
    <row r="25" spans="5:33" ht="9.9499999999999993" customHeight="1">
      <c r="E25" s="74"/>
      <c r="F25" s="273"/>
      <c r="G25" s="274"/>
      <c r="H25" s="274"/>
      <c r="I25" s="274"/>
      <c r="J25" s="274"/>
      <c r="K25" s="274"/>
      <c r="L25" s="274"/>
      <c r="M25" s="274"/>
      <c r="N25" s="274"/>
      <c r="O25" s="274"/>
      <c r="P25" s="274"/>
      <c r="Q25" s="274"/>
      <c r="R25" s="274"/>
      <c r="S25" s="274"/>
      <c r="T25" s="274"/>
      <c r="U25" s="274"/>
      <c r="V25" s="274"/>
      <c r="W25" s="274"/>
      <c r="X25" s="274"/>
      <c r="Y25" s="274"/>
      <c r="Z25" s="274"/>
      <c r="AA25" s="274"/>
      <c r="AB25" s="274"/>
      <c r="AC25" s="274"/>
      <c r="AD25" s="274"/>
      <c r="AE25" s="274"/>
      <c r="AF25" s="274"/>
      <c r="AG25" s="275"/>
    </row>
    <row r="26" spans="5:33" ht="9.9499999999999993" customHeight="1">
      <c r="E26" s="1">
        <v>3</v>
      </c>
      <c r="F26" s="273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  <c r="AA26" s="274"/>
      <c r="AB26" s="274"/>
      <c r="AC26" s="274"/>
      <c r="AD26" s="274"/>
      <c r="AE26" s="274"/>
      <c r="AF26" s="274"/>
      <c r="AG26" s="275"/>
    </row>
    <row r="27" spans="5:33" ht="9.9499999999999993" customHeight="1">
      <c r="F27" s="273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5"/>
    </row>
    <row r="28" spans="5:33" ht="9.9499999999999993" customHeight="1">
      <c r="F28" s="273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  <c r="AA28" s="274"/>
      <c r="AB28" s="274"/>
      <c r="AC28" s="274"/>
      <c r="AD28" s="274"/>
      <c r="AE28" s="274"/>
      <c r="AF28" s="274"/>
      <c r="AG28" s="275"/>
    </row>
    <row r="29" spans="5:33" ht="9.9499999999999993" customHeight="1">
      <c r="E29" s="74"/>
      <c r="F29" s="273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  <c r="AA29" s="274"/>
      <c r="AB29" s="274"/>
      <c r="AC29" s="274"/>
      <c r="AD29" s="274"/>
      <c r="AE29" s="274"/>
      <c r="AF29" s="274"/>
      <c r="AG29" s="275"/>
    </row>
    <row r="30" spans="5:33" ht="9.9499999999999993" customHeight="1">
      <c r="E30" s="1">
        <v>4</v>
      </c>
      <c r="F30" s="273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5"/>
    </row>
    <row r="31" spans="5:33" ht="9.9499999999999993" customHeight="1">
      <c r="F31" s="273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  <c r="AA31" s="274"/>
      <c r="AB31" s="274"/>
      <c r="AC31" s="274"/>
      <c r="AD31" s="274"/>
      <c r="AE31" s="274"/>
      <c r="AF31" s="274"/>
      <c r="AG31" s="275"/>
    </row>
    <row r="32" spans="5:33" ht="9.9499999999999993" customHeight="1">
      <c r="F32" s="273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274"/>
      <c r="AF32" s="274"/>
      <c r="AG32" s="275"/>
    </row>
    <row r="33" spans="5:33" ht="9.9499999999999993" customHeight="1">
      <c r="E33" s="74"/>
      <c r="F33" s="273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  <c r="AB33" s="274"/>
      <c r="AC33" s="274"/>
      <c r="AD33" s="274"/>
      <c r="AE33" s="274"/>
      <c r="AF33" s="274"/>
      <c r="AG33" s="275"/>
    </row>
    <row r="34" spans="5:33" ht="9.9499999999999993" customHeight="1">
      <c r="E34" s="1">
        <v>5</v>
      </c>
      <c r="F34" s="273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  <c r="AD34" s="274"/>
      <c r="AE34" s="274"/>
      <c r="AF34" s="274"/>
      <c r="AG34" s="275"/>
    </row>
    <row r="35" spans="5:33" ht="9.9499999999999993" customHeight="1">
      <c r="F35" s="273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  <c r="AF35" s="274"/>
      <c r="AG35" s="275"/>
    </row>
    <row r="36" spans="5:33" ht="9.9499999999999993" customHeight="1">
      <c r="F36" s="273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4"/>
      <c r="AF36" s="274"/>
      <c r="AG36" s="275"/>
    </row>
    <row r="37" spans="5:33" ht="9.9499999999999993" customHeight="1">
      <c r="E37" s="74"/>
      <c r="F37" s="273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4"/>
      <c r="AD37" s="274"/>
      <c r="AE37" s="274"/>
      <c r="AF37" s="274"/>
      <c r="AG37" s="275"/>
    </row>
    <row r="38" spans="5:33" ht="9.9499999999999993" customHeight="1">
      <c r="E38" s="1">
        <v>6</v>
      </c>
      <c r="F38" s="273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4"/>
      <c r="AD38" s="274"/>
      <c r="AE38" s="274"/>
      <c r="AF38" s="274"/>
      <c r="AG38" s="275"/>
    </row>
    <row r="39" spans="5:33" ht="9.9499999999999993" customHeight="1">
      <c r="F39" s="273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  <c r="AB39" s="274"/>
      <c r="AC39" s="274"/>
      <c r="AD39" s="274"/>
      <c r="AE39" s="274"/>
      <c r="AF39" s="274"/>
      <c r="AG39" s="275"/>
    </row>
    <row r="40" spans="5:33" ht="9.9499999999999993" customHeight="1">
      <c r="F40" s="273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4"/>
      <c r="AD40" s="274"/>
      <c r="AE40" s="274"/>
      <c r="AF40" s="274"/>
      <c r="AG40" s="275"/>
    </row>
    <row r="41" spans="5:33" ht="9.9499999999999993" customHeight="1">
      <c r="E41" s="74"/>
      <c r="F41" s="273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4"/>
      <c r="AD41" s="274"/>
      <c r="AE41" s="274"/>
      <c r="AF41" s="274"/>
      <c r="AG41" s="275"/>
    </row>
    <row r="42" spans="5:33" ht="9.9499999999999993" customHeight="1">
      <c r="E42" s="1">
        <v>7</v>
      </c>
      <c r="F42" s="273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  <c r="AE42" s="274"/>
      <c r="AF42" s="274"/>
      <c r="AG42" s="275"/>
    </row>
    <row r="43" spans="5:33" ht="9.9499999999999993" customHeight="1">
      <c r="F43" s="273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4"/>
      <c r="AF43" s="274"/>
      <c r="AG43" s="275"/>
    </row>
    <row r="44" spans="5:33" ht="9.9499999999999993" customHeight="1">
      <c r="F44" s="273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4"/>
      <c r="AF44" s="274"/>
      <c r="AG44" s="275"/>
    </row>
    <row r="45" spans="5:33" ht="9.9499999999999993" customHeight="1">
      <c r="E45" s="74"/>
      <c r="F45" s="273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  <c r="AE45" s="274"/>
      <c r="AF45" s="274"/>
      <c r="AG45" s="275"/>
    </row>
    <row r="46" spans="5:33" ht="9.9499999999999993" customHeight="1">
      <c r="E46" s="1">
        <v>8</v>
      </c>
      <c r="F46" s="273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  <c r="AE46" s="274"/>
      <c r="AF46" s="274"/>
      <c r="AG46" s="275"/>
    </row>
    <row r="47" spans="5:33" ht="9.9499999999999993" customHeight="1">
      <c r="F47" s="273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  <c r="AE47" s="274"/>
      <c r="AF47" s="274"/>
      <c r="AG47" s="275"/>
    </row>
    <row r="48" spans="5:33" ht="9.9499999999999993" customHeight="1">
      <c r="F48" s="273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  <c r="AB48" s="274"/>
      <c r="AC48" s="274"/>
      <c r="AD48" s="274"/>
      <c r="AE48" s="274"/>
      <c r="AF48" s="274"/>
      <c r="AG48" s="275"/>
    </row>
    <row r="49" spans="5:33" ht="9.9499999999999993" customHeight="1">
      <c r="E49" s="74"/>
      <c r="F49" s="273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  <c r="AE49" s="274"/>
      <c r="AF49" s="274"/>
      <c r="AG49" s="275"/>
    </row>
    <row r="50" spans="5:33" ht="9.9499999999999993" customHeight="1">
      <c r="E50" s="1">
        <v>9</v>
      </c>
      <c r="F50" s="273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  <c r="AF50" s="274"/>
      <c r="AG50" s="275"/>
    </row>
    <row r="51" spans="5:33" ht="9.9499999999999993" customHeight="1">
      <c r="F51" s="273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5"/>
    </row>
    <row r="52" spans="5:33" ht="9.9499999999999993" customHeight="1">
      <c r="F52" s="273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5"/>
    </row>
    <row r="53" spans="5:33" ht="9.9499999999999993" customHeight="1">
      <c r="E53" s="74"/>
      <c r="F53" s="273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5"/>
    </row>
    <row r="54" spans="5:33" ht="9.9499999999999993" customHeight="1">
      <c r="E54" s="1">
        <v>10</v>
      </c>
      <c r="F54" s="273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74"/>
      <c r="AD54" s="274"/>
      <c r="AE54" s="274"/>
      <c r="AF54" s="274"/>
      <c r="AG54" s="275"/>
    </row>
    <row r="55" spans="5:33" ht="9.9499999999999993" customHeight="1">
      <c r="F55" s="273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  <c r="AB55" s="274"/>
      <c r="AC55" s="274"/>
      <c r="AD55" s="274"/>
      <c r="AE55" s="274"/>
      <c r="AF55" s="274"/>
      <c r="AG55" s="275"/>
    </row>
    <row r="56" spans="5:33" ht="9.9499999999999993" customHeight="1">
      <c r="F56" s="273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  <c r="AF56" s="274"/>
      <c r="AG56" s="275"/>
    </row>
    <row r="57" spans="5:33" ht="9.9499999999999993" customHeight="1">
      <c r="E57" s="74"/>
      <c r="F57" s="273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74"/>
      <c r="AB57" s="274"/>
      <c r="AC57" s="274"/>
      <c r="AD57" s="274"/>
      <c r="AE57" s="274"/>
      <c r="AF57" s="274"/>
      <c r="AG57" s="275"/>
    </row>
  </sheetData>
  <mergeCells count="17">
    <mergeCell ref="J3:O4"/>
    <mergeCell ref="J5:O6"/>
    <mergeCell ref="B3:H6"/>
    <mergeCell ref="C15:I16"/>
    <mergeCell ref="F54:AG57"/>
    <mergeCell ref="F18:AG21"/>
    <mergeCell ref="F22:AG25"/>
    <mergeCell ref="F26:AG29"/>
    <mergeCell ref="F30:AG33"/>
    <mergeCell ref="F34:AG37"/>
    <mergeCell ref="F38:AG41"/>
    <mergeCell ref="F42:AG45"/>
    <mergeCell ref="F46:AG49"/>
    <mergeCell ref="F50:AG53"/>
    <mergeCell ref="J7:O8"/>
    <mergeCell ref="S7:V8"/>
    <mergeCell ref="AD15:AG16"/>
  </mergeCells>
  <phoneticPr fontId="1"/>
  <pageMargins left="0.25" right="0.25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B2:AB57"/>
  <sheetViews>
    <sheetView showGridLines="0" zoomScaleNormal="100" workbookViewId="0">
      <selection activeCell="D20" sqref="D20"/>
    </sheetView>
  </sheetViews>
  <sheetFormatPr defaultColWidth="5.5703125" defaultRowHeight="15"/>
  <cols>
    <col min="1" max="3" width="5.5703125" style="3"/>
    <col min="4" max="4" width="16.28515625" style="3" customWidth="1"/>
    <col min="5" max="5" width="5.5703125" style="3"/>
    <col min="6" max="6" width="8.28515625" style="3" customWidth="1"/>
    <col min="7" max="8" width="5.5703125" style="3"/>
    <col min="9" max="9" width="12.5703125" style="3" customWidth="1"/>
    <col min="10" max="19" width="5.5703125" style="3"/>
    <col min="20" max="20" width="6" style="3" customWidth="1"/>
    <col min="21" max="21" width="11.42578125" style="3" bestFit="1" customWidth="1"/>
    <col min="22" max="22" width="6.42578125" style="3" bestFit="1" customWidth="1"/>
    <col min="23" max="23" width="5.5703125" style="3" bestFit="1" customWidth="1"/>
    <col min="24" max="24" width="6" style="3" bestFit="1" customWidth="1"/>
    <col min="25" max="25" width="8.42578125" style="3" bestFit="1" customWidth="1"/>
    <col min="26" max="26" width="7.7109375" style="3" bestFit="1" customWidth="1"/>
    <col min="27" max="30" width="5.5703125" style="3" customWidth="1"/>
    <col min="31" max="16384" width="5.5703125" style="3"/>
  </cols>
  <sheetData>
    <row r="2" spans="2:28">
      <c r="U2" s="2" t="s">
        <v>10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15</v>
      </c>
      <c r="AB2" s="4" t="s">
        <v>28</v>
      </c>
    </row>
    <row r="3" spans="2:28">
      <c r="U3" s="6" t="s">
        <v>16</v>
      </c>
      <c r="V3" s="11">
        <v>10</v>
      </c>
      <c r="W3" s="7">
        <v>1.95</v>
      </c>
      <c r="X3" s="7">
        <v>0</v>
      </c>
      <c r="Y3" s="6" t="s">
        <v>58</v>
      </c>
      <c r="Z3" s="5">
        <v>0</v>
      </c>
      <c r="AB3" s="4" t="s">
        <v>29</v>
      </c>
    </row>
    <row r="4" spans="2:28">
      <c r="U4" s="6" t="s">
        <v>16</v>
      </c>
      <c r="V4" s="11">
        <v>20</v>
      </c>
      <c r="W4" s="7">
        <v>50</v>
      </c>
      <c r="X4" s="7">
        <v>70</v>
      </c>
      <c r="Y4" s="6" t="s">
        <v>59</v>
      </c>
      <c r="Z4" s="5">
        <v>0</v>
      </c>
      <c r="AB4" s="4" t="s">
        <v>30</v>
      </c>
    </row>
    <row r="5" spans="2:28">
      <c r="U5" s="6" t="s">
        <v>16</v>
      </c>
      <c r="V5" s="11">
        <v>30</v>
      </c>
      <c r="W5" s="7">
        <v>1</v>
      </c>
      <c r="X5" s="7">
        <v>5</v>
      </c>
      <c r="Y5" s="6" t="s">
        <v>60</v>
      </c>
      <c r="Z5" s="5">
        <v>0</v>
      </c>
      <c r="AB5" s="4" t="s">
        <v>31</v>
      </c>
    </row>
    <row r="6" spans="2:28">
      <c r="U6" s="6" t="s">
        <v>16</v>
      </c>
      <c r="V6" s="11">
        <v>40</v>
      </c>
      <c r="W6" s="7">
        <v>104</v>
      </c>
      <c r="X6" s="7">
        <v>114</v>
      </c>
      <c r="Y6" s="6" t="s">
        <v>61</v>
      </c>
      <c r="Z6" s="5">
        <v>0</v>
      </c>
      <c r="AB6" s="4" t="s">
        <v>32</v>
      </c>
    </row>
    <row r="7" spans="2:28">
      <c r="U7" s="6" t="s">
        <v>16</v>
      </c>
      <c r="V7" s="11">
        <v>50</v>
      </c>
      <c r="W7" s="13">
        <v>0</v>
      </c>
      <c r="X7" s="13">
        <v>0</v>
      </c>
      <c r="Y7" s="6" t="s">
        <v>17</v>
      </c>
      <c r="Z7" s="16">
        <v>1</v>
      </c>
      <c r="AB7" s="4" t="s">
        <v>33</v>
      </c>
    </row>
    <row r="8" spans="2:28">
      <c r="U8" s="6" t="s">
        <v>16</v>
      </c>
      <c r="V8" s="11">
        <v>60</v>
      </c>
      <c r="W8" s="13">
        <v>0</v>
      </c>
      <c r="X8" s="13">
        <v>0</v>
      </c>
      <c r="Y8" s="6" t="s">
        <v>18</v>
      </c>
      <c r="Z8" s="16">
        <v>1</v>
      </c>
      <c r="AB8" s="4" t="s">
        <v>34</v>
      </c>
    </row>
    <row r="9" spans="2:28">
      <c r="U9" s="6" t="s">
        <v>16</v>
      </c>
      <c r="V9" s="11">
        <v>70</v>
      </c>
      <c r="W9" s="13">
        <v>0.1</v>
      </c>
      <c r="X9" s="13">
        <v>0.5</v>
      </c>
      <c r="Y9" s="6" t="s">
        <v>19</v>
      </c>
      <c r="Z9" s="16">
        <v>1</v>
      </c>
      <c r="AB9" s="4" t="s">
        <v>35</v>
      </c>
    </row>
    <row r="10" spans="2:28">
      <c r="U10" s="6" t="s">
        <v>16</v>
      </c>
      <c r="V10" s="11">
        <v>80</v>
      </c>
      <c r="W10" s="13">
        <v>4.5</v>
      </c>
      <c r="X10" s="13">
        <v>6.5</v>
      </c>
      <c r="Y10" s="6" t="s">
        <v>20</v>
      </c>
      <c r="Z10" s="16">
        <v>1</v>
      </c>
      <c r="AB10" s="4" t="s">
        <v>36</v>
      </c>
    </row>
    <row r="11" spans="2:28">
      <c r="U11" s="6" t="s">
        <v>16</v>
      </c>
      <c r="V11" s="11">
        <v>90</v>
      </c>
      <c r="W11" s="13">
        <v>16</v>
      </c>
      <c r="X11" s="13">
        <v>19</v>
      </c>
      <c r="Y11" s="6" t="s">
        <v>21</v>
      </c>
      <c r="Z11" s="16">
        <v>1</v>
      </c>
    </row>
    <row r="12" spans="2:28">
      <c r="U12" s="6" t="s">
        <v>16</v>
      </c>
      <c r="V12" s="11">
        <v>100</v>
      </c>
      <c r="W12" s="13">
        <v>29.8</v>
      </c>
      <c r="X12" s="13">
        <v>31.8</v>
      </c>
      <c r="Y12" s="6" t="s">
        <v>22</v>
      </c>
      <c r="Z12" s="16">
        <v>1</v>
      </c>
    </row>
    <row r="13" spans="2:28">
      <c r="U13" s="6" t="s">
        <v>16</v>
      </c>
      <c r="V13" s="11">
        <v>110</v>
      </c>
      <c r="W13" s="13">
        <v>32.5</v>
      </c>
      <c r="X13" s="13">
        <v>36.5</v>
      </c>
      <c r="Y13" s="6" t="s">
        <v>23</v>
      </c>
      <c r="Z13" s="16">
        <v>1</v>
      </c>
    </row>
    <row r="14" spans="2:28">
      <c r="E14" s="3" t="s">
        <v>37</v>
      </c>
      <c r="U14" s="6" t="s">
        <v>16</v>
      </c>
      <c r="V14" s="11">
        <v>120</v>
      </c>
      <c r="W14" s="13">
        <v>8.5</v>
      </c>
      <c r="X14" s="13">
        <v>11.5</v>
      </c>
      <c r="Y14" s="6" t="s">
        <v>24</v>
      </c>
      <c r="Z14" s="16">
        <v>1</v>
      </c>
    </row>
    <row r="15" spans="2:28" ht="30.75" customHeight="1">
      <c r="B15" s="8" t="s">
        <v>4</v>
      </c>
      <c r="C15" s="291" t="s">
        <v>273</v>
      </c>
      <c r="D15" s="292"/>
      <c r="E15" s="19">
        <v>10</v>
      </c>
      <c r="F15" s="291" t="s">
        <v>277</v>
      </c>
      <c r="G15" s="292"/>
      <c r="H15" s="292"/>
      <c r="I15" s="292"/>
      <c r="U15" s="6" t="s">
        <v>16</v>
      </c>
      <c r="V15" s="11">
        <v>130</v>
      </c>
      <c r="W15" s="13">
        <v>1</v>
      </c>
      <c r="X15" s="13">
        <v>2.5</v>
      </c>
      <c r="Y15" s="6" t="s">
        <v>25</v>
      </c>
      <c r="Z15" s="16">
        <v>1</v>
      </c>
    </row>
    <row r="16" spans="2:28" ht="25.5" customHeight="1">
      <c r="B16" s="8" t="s">
        <v>5</v>
      </c>
      <c r="C16" s="291" t="s">
        <v>275</v>
      </c>
      <c r="D16" s="292"/>
      <c r="E16" s="19">
        <v>20</v>
      </c>
      <c r="F16" s="291" t="s">
        <v>277</v>
      </c>
      <c r="G16" s="292"/>
      <c r="H16" s="292"/>
      <c r="I16" s="292"/>
      <c r="U16" s="6" t="s">
        <v>16</v>
      </c>
      <c r="V16" s="11">
        <v>140</v>
      </c>
      <c r="W16" s="13">
        <v>0.1</v>
      </c>
      <c r="X16" s="13">
        <v>0.4</v>
      </c>
      <c r="Y16" s="6" t="s">
        <v>26</v>
      </c>
      <c r="Z16" s="16">
        <v>1</v>
      </c>
    </row>
    <row r="17" spans="2:26" ht="24.75" customHeight="1">
      <c r="B17" s="8" t="s">
        <v>6</v>
      </c>
      <c r="C17" s="291" t="s">
        <v>274</v>
      </c>
      <c r="D17" s="292"/>
      <c r="E17" s="19">
        <v>30</v>
      </c>
      <c r="F17" s="291" t="s">
        <v>277</v>
      </c>
      <c r="G17" s="292"/>
      <c r="H17" s="292"/>
      <c r="I17" s="292"/>
      <c r="U17" s="6" t="s">
        <v>16</v>
      </c>
      <c r="V17" s="11">
        <v>150</v>
      </c>
      <c r="W17" s="13">
        <v>0</v>
      </c>
      <c r="X17" s="13">
        <v>0.1</v>
      </c>
      <c r="Y17" s="6" t="s">
        <v>27</v>
      </c>
      <c r="Z17" s="16">
        <v>1</v>
      </c>
    </row>
    <row r="18" spans="2:26" ht="28.5" customHeight="1">
      <c r="B18" s="8" t="s">
        <v>7</v>
      </c>
      <c r="C18" s="291" t="s">
        <v>276</v>
      </c>
      <c r="D18" s="292"/>
      <c r="E18" s="19">
        <v>40</v>
      </c>
      <c r="F18" s="291" t="s">
        <v>277</v>
      </c>
      <c r="G18" s="292"/>
      <c r="H18" s="292"/>
      <c r="I18" s="292"/>
      <c r="U18" s="12" t="s">
        <v>16</v>
      </c>
      <c r="V18" s="12">
        <v>160</v>
      </c>
      <c r="W18" s="12">
        <v>0</v>
      </c>
      <c r="X18" s="12">
        <v>0</v>
      </c>
      <c r="Y18" s="12" t="s">
        <v>57</v>
      </c>
      <c r="Z18" s="12">
        <v>0</v>
      </c>
    </row>
    <row r="19" spans="2:26">
      <c r="B19" s="44" t="s">
        <v>38</v>
      </c>
      <c r="C19" s="22" t="s">
        <v>39</v>
      </c>
      <c r="D19" s="22"/>
      <c r="E19" s="47" t="s">
        <v>62</v>
      </c>
      <c r="F19" s="22"/>
      <c r="G19" s="22" t="s">
        <v>54</v>
      </c>
      <c r="H19" s="22"/>
      <c r="I19" s="22"/>
      <c r="J19" s="22"/>
      <c r="K19" s="22"/>
    </row>
    <row r="20" spans="2:26">
      <c r="B20" s="43" t="s">
        <v>0</v>
      </c>
      <c r="C20" s="27"/>
      <c r="D20" s="27" t="s">
        <v>1</v>
      </c>
      <c r="E20" s="27"/>
      <c r="F20" s="27" t="s">
        <v>2</v>
      </c>
      <c r="G20" s="27"/>
      <c r="H20" s="27" t="s">
        <v>3</v>
      </c>
      <c r="I20" s="27"/>
    </row>
    <row r="21" spans="2:26">
      <c r="B21" s="8" t="s">
        <v>8</v>
      </c>
      <c r="C21" s="3" t="s">
        <v>9</v>
      </c>
      <c r="E21" s="9"/>
    </row>
    <row r="22" spans="2:26">
      <c r="D22" s="8"/>
      <c r="E22" s="9"/>
    </row>
    <row r="23" spans="2:26">
      <c r="B23" s="47" t="s">
        <v>41</v>
      </c>
      <c r="C23" s="22"/>
      <c r="D23" s="44"/>
      <c r="E23" s="48"/>
      <c r="F23" s="22"/>
      <c r="G23" s="22"/>
      <c r="H23" s="22"/>
      <c r="I23" s="22"/>
      <c r="J23" s="22"/>
      <c r="K23" s="22"/>
      <c r="L23" s="22"/>
      <c r="V23" s="3" t="s">
        <v>55</v>
      </c>
    </row>
    <row r="24" spans="2:26">
      <c r="W24" s="45"/>
      <c r="X24" s="46" t="s">
        <v>56</v>
      </c>
      <c r="Y24" s="45" t="s">
        <v>57</v>
      </c>
    </row>
    <row r="25" spans="2:26">
      <c r="B25" s="21" t="s">
        <v>40</v>
      </c>
      <c r="C25" s="22" t="s">
        <v>42</v>
      </c>
      <c r="D25" s="14"/>
      <c r="E25" s="20"/>
      <c r="F25" s="15"/>
      <c r="W25" s="45">
        <v>0</v>
      </c>
      <c r="X25" s="45">
        <v>7</v>
      </c>
      <c r="Y25" s="45">
        <f>W25*X25</f>
        <v>0</v>
      </c>
    </row>
    <row r="26" spans="2:26">
      <c r="B26" s="23"/>
      <c r="C26" s="22" t="s">
        <v>43</v>
      </c>
      <c r="D26" s="14"/>
      <c r="E26" s="20"/>
      <c r="F26" s="15"/>
      <c r="W26" s="45">
        <v>0</v>
      </c>
      <c r="X26" s="45">
        <v>10</v>
      </c>
      <c r="Y26" s="45">
        <f t="shared" ref="Y26:Y35" si="0">W26*X26</f>
        <v>0</v>
      </c>
    </row>
    <row r="27" spans="2:26">
      <c r="D27" s="8"/>
      <c r="E27" s="9"/>
      <c r="W27" s="45">
        <v>0.4</v>
      </c>
      <c r="X27" s="45">
        <v>20</v>
      </c>
      <c r="Y27" s="45">
        <f t="shared" si="0"/>
        <v>8</v>
      </c>
    </row>
    <row r="28" spans="2:26">
      <c r="D28" s="8"/>
      <c r="E28" s="9"/>
      <c r="W28" s="45">
        <v>6.3</v>
      </c>
      <c r="X28" s="45">
        <v>30</v>
      </c>
      <c r="Y28" s="45">
        <f t="shared" si="0"/>
        <v>189</v>
      </c>
    </row>
    <row r="29" spans="2:26">
      <c r="D29" s="8"/>
      <c r="E29" s="9"/>
      <c r="W29" s="45">
        <v>18.600000000000001</v>
      </c>
      <c r="X29" s="45">
        <v>40</v>
      </c>
      <c r="Y29" s="45">
        <f t="shared" si="0"/>
        <v>744</v>
      </c>
    </row>
    <row r="30" spans="2:26">
      <c r="D30" s="8"/>
      <c r="E30" s="9"/>
      <c r="W30" s="45">
        <v>30.2</v>
      </c>
      <c r="X30" s="45">
        <v>50</v>
      </c>
      <c r="Y30" s="45">
        <f t="shared" si="0"/>
        <v>1510</v>
      </c>
    </row>
    <row r="31" spans="2:26">
      <c r="D31" s="8"/>
      <c r="E31" s="9"/>
      <c r="W31" s="45">
        <v>32.6</v>
      </c>
      <c r="X31" s="45">
        <v>70</v>
      </c>
      <c r="Y31" s="45">
        <f t="shared" si="0"/>
        <v>2282</v>
      </c>
    </row>
    <row r="32" spans="2:26">
      <c r="D32" s="8"/>
      <c r="E32" s="10"/>
      <c r="W32" s="45">
        <v>10.1</v>
      </c>
      <c r="X32" s="45">
        <v>100</v>
      </c>
      <c r="Y32" s="45">
        <f t="shared" si="0"/>
        <v>1010</v>
      </c>
    </row>
    <row r="33" spans="3:25">
      <c r="M33" s="17"/>
      <c r="N33" s="18"/>
      <c r="W33" s="45">
        <v>1.6</v>
      </c>
      <c r="X33" s="45">
        <v>140</v>
      </c>
      <c r="Y33" s="45">
        <f t="shared" si="0"/>
        <v>224</v>
      </c>
    </row>
    <row r="34" spans="3:25">
      <c r="I34" s="25" t="s">
        <v>40</v>
      </c>
      <c r="J34" s="27" t="s">
        <v>44</v>
      </c>
      <c r="K34" s="26"/>
      <c r="L34" s="28"/>
      <c r="M34" s="28"/>
      <c r="W34" s="45">
        <v>0.1</v>
      </c>
      <c r="X34" s="45">
        <v>200</v>
      </c>
      <c r="Y34" s="45">
        <f t="shared" si="0"/>
        <v>20</v>
      </c>
    </row>
    <row r="35" spans="3:25">
      <c r="W35" s="45">
        <v>0.1</v>
      </c>
      <c r="X35" s="45">
        <v>300</v>
      </c>
      <c r="Y35" s="45">
        <f t="shared" si="0"/>
        <v>30</v>
      </c>
    </row>
    <row r="36" spans="3:25" s="110" customFormat="1" ht="23.25" customHeight="1">
      <c r="C36" s="110" t="s">
        <v>258</v>
      </c>
      <c r="W36" s="111">
        <v>100</v>
      </c>
      <c r="X36" s="111"/>
      <c r="Y36" s="112">
        <f>SUM(Y25:Y35)/100</f>
        <v>60.17</v>
      </c>
    </row>
    <row r="37" spans="3:25" s="4" customFormat="1" ht="26.25" customHeight="1">
      <c r="C37" s="113" t="s">
        <v>40</v>
      </c>
      <c r="D37" s="289" t="s">
        <v>270</v>
      </c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</row>
    <row r="38" spans="3:25" ht="31.5" customHeight="1">
      <c r="C38" s="8" t="s">
        <v>40</v>
      </c>
      <c r="D38" s="289" t="s">
        <v>271</v>
      </c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</row>
    <row r="39" spans="3:25" ht="28.5" customHeight="1">
      <c r="C39" s="8" t="s">
        <v>40</v>
      </c>
      <c r="D39" s="291" t="s">
        <v>272</v>
      </c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</row>
    <row r="40" spans="3:25">
      <c r="C40" s="8"/>
    </row>
    <row r="45" spans="3:25">
      <c r="K45" s="24" t="s">
        <v>51</v>
      </c>
      <c r="L45" s="3" t="s">
        <v>52</v>
      </c>
      <c r="N45" s="42" t="s">
        <v>53</v>
      </c>
      <c r="Q45" s="24" t="s">
        <v>51</v>
      </c>
      <c r="R45" s="3" t="s">
        <v>52</v>
      </c>
    </row>
    <row r="46" spans="3:25" ht="51.75" customHeight="1">
      <c r="D46" s="282" t="s">
        <v>267</v>
      </c>
      <c r="E46" s="283"/>
      <c r="F46" s="284"/>
      <c r="G46" s="29"/>
      <c r="I46" s="6" t="s">
        <v>17</v>
      </c>
      <c r="J46" s="5">
        <v>50</v>
      </c>
      <c r="K46" s="41">
        <v>0</v>
      </c>
      <c r="L46" s="7">
        <v>0</v>
      </c>
      <c r="M46" s="35" t="s">
        <v>45</v>
      </c>
      <c r="O46" s="6" t="s">
        <v>17</v>
      </c>
      <c r="P46" s="5">
        <v>50</v>
      </c>
      <c r="Q46" s="41">
        <v>0</v>
      </c>
      <c r="R46" s="7">
        <v>0</v>
      </c>
      <c r="S46" s="35" t="s">
        <v>45</v>
      </c>
      <c r="T46" s="3" t="s">
        <v>265</v>
      </c>
    </row>
    <row r="47" spans="3:25">
      <c r="D47" s="276" t="s">
        <v>47</v>
      </c>
      <c r="E47" s="277"/>
      <c r="F47" s="278"/>
      <c r="G47" s="32"/>
      <c r="I47" s="6" t="s">
        <v>18</v>
      </c>
      <c r="J47" s="5">
        <v>60</v>
      </c>
      <c r="K47" s="41">
        <v>0</v>
      </c>
      <c r="L47" s="7">
        <v>0</v>
      </c>
      <c r="M47" s="35" t="s">
        <v>45</v>
      </c>
      <c r="O47" s="6" t="s">
        <v>18</v>
      </c>
      <c r="P47" s="5">
        <v>60</v>
      </c>
      <c r="Q47" s="41">
        <v>0</v>
      </c>
      <c r="R47" s="7">
        <v>0</v>
      </c>
      <c r="S47" s="35" t="s">
        <v>45</v>
      </c>
      <c r="T47" s="3" t="s">
        <v>266</v>
      </c>
    </row>
    <row r="48" spans="3:25" ht="39" customHeight="1">
      <c r="D48" s="285" t="s">
        <v>268</v>
      </c>
      <c r="E48" s="286"/>
      <c r="F48" s="287"/>
      <c r="G48" s="31"/>
      <c r="I48" s="6" t="s">
        <v>19</v>
      </c>
      <c r="J48" s="5">
        <v>70</v>
      </c>
      <c r="K48" s="41">
        <v>0.1</v>
      </c>
      <c r="L48" s="7">
        <v>0.5</v>
      </c>
      <c r="M48" s="35" t="s">
        <v>45</v>
      </c>
      <c r="O48" s="6" t="s">
        <v>27</v>
      </c>
      <c r="P48" s="5">
        <v>150</v>
      </c>
      <c r="Q48" s="41">
        <v>0</v>
      </c>
      <c r="R48" s="7">
        <v>0.1</v>
      </c>
      <c r="S48" s="35" t="s">
        <v>45</v>
      </c>
    </row>
    <row r="49" spans="4:19" ht="42.75" customHeight="1">
      <c r="D49" s="288" t="s">
        <v>269</v>
      </c>
      <c r="E49" s="280"/>
      <c r="F49" s="281"/>
      <c r="G49" s="31"/>
      <c r="I49" s="6" t="s">
        <v>20</v>
      </c>
      <c r="J49" s="5">
        <v>80</v>
      </c>
      <c r="K49" s="41">
        <v>4.5</v>
      </c>
      <c r="L49" s="7">
        <v>6.5</v>
      </c>
      <c r="M49" s="35" t="s">
        <v>45</v>
      </c>
      <c r="O49" s="6" t="s">
        <v>19</v>
      </c>
      <c r="P49" s="5">
        <v>70</v>
      </c>
      <c r="Q49" s="41">
        <v>0.1</v>
      </c>
      <c r="R49" s="7">
        <v>0.5</v>
      </c>
      <c r="S49" s="35" t="s">
        <v>45</v>
      </c>
    </row>
    <row r="50" spans="4:19">
      <c r="D50" s="279" t="s">
        <v>48</v>
      </c>
      <c r="E50" s="280"/>
      <c r="F50" s="281"/>
      <c r="G50" s="31"/>
      <c r="I50" s="6" t="s">
        <v>21</v>
      </c>
      <c r="J50" s="5">
        <v>90</v>
      </c>
      <c r="K50" s="41">
        <v>16</v>
      </c>
      <c r="L50" s="7">
        <v>19</v>
      </c>
      <c r="M50" s="35" t="s">
        <v>45</v>
      </c>
      <c r="O50" s="6" t="s">
        <v>26</v>
      </c>
      <c r="P50" s="5">
        <v>140</v>
      </c>
      <c r="Q50" s="41">
        <v>0.1</v>
      </c>
      <c r="R50" s="7">
        <v>0.4</v>
      </c>
      <c r="S50" s="35" t="s">
        <v>45</v>
      </c>
    </row>
    <row r="51" spans="4:19">
      <c r="D51" s="34"/>
      <c r="E51" s="35"/>
      <c r="F51" s="36"/>
      <c r="G51" s="31"/>
      <c r="I51" s="6" t="s">
        <v>22</v>
      </c>
      <c r="J51" s="5">
        <v>100</v>
      </c>
      <c r="K51" s="41">
        <v>29.8</v>
      </c>
      <c r="L51" s="7">
        <v>31.8</v>
      </c>
      <c r="M51" s="35" t="s">
        <v>45</v>
      </c>
      <c r="O51" s="6" t="s">
        <v>25</v>
      </c>
      <c r="P51" s="5">
        <v>130</v>
      </c>
      <c r="Q51" s="41">
        <v>1</v>
      </c>
      <c r="R51" s="7">
        <v>2.5</v>
      </c>
      <c r="S51" s="35" t="s">
        <v>45</v>
      </c>
    </row>
    <row r="52" spans="4:19">
      <c r="D52" s="37"/>
      <c r="E52" s="38"/>
      <c r="F52" s="39"/>
      <c r="G52" s="30"/>
      <c r="I52" s="6" t="s">
        <v>23</v>
      </c>
      <c r="J52" s="5">
        <v>110</v>
      </c>
      <c r="K52" s="41">
        <v>32.5</v>
      </c>
      <c r="L52" s="7">
        <v>36.5</v>
      </c>
      <c r="M52" s="40" t="s">
        <v>46</v>
      </c>
      <c r="O52" s="6" t="s">
        <v>20</v>
      </c>
      <c r="P52" s="5">
        <v>80</v>
      </c>
      <c r="Q52" s="41">
        <v>4.5</v>
      </c>
      <c r="R52" s="7">
        <v>6.5</v>
      </c>
      <c r="S52" s="35" t="s">
        <v>45</v>
      </c>
    </row>
    <row r="53" spans="4:19">
      <c r="D53" s="33" t="s">
        <v>49</v>
      </c>
      <c r="I53" s="6" t="s">
        <v>24</v>
      </c>
      <c r="J53" s="5">
        <v>120</v>
      </c>
      <c r="K53" s="41">
        <v>8.5</v>
      </c>
      <c r="L53" s="7">
        <v>11.5</v>
      </c>
      <c r="M53" s="35" t="s">
        <v>45</v>
      </c>
      <c r="O53" s="6" t="s">
        <v>24</v>
      </c>
      <c r="P53" s="5">
        <v>120</v>
      </c>
      <c r="Q53" s="41">
        <v>8.5</v>
      </c>
      <c r="R53" s="7">
        <v>11.5</v>
      </c>
      <c r="S53" s="35" t="s">
        <v>45</v>
      </c>
    </row>
    <row r="54" spans="4:19">
      <c r="D54" s="33" t="s">
        <v>50</v>
      </c>
      <c r="I54" s="6" t="s">
        <v>25</v>
      </c>
      <c r="J54" s="5">
        <v>130</v>
      </c>
      <c r="K54" s="41">
        <v>1</v>
      </c>
      <c r="L54" s="7">
        <v>2.5</v>
      </c>
      <c r="M54" s="35" t="s">
        <v>45</v>
      </c>
      <c r="O54" s="6" t="s">
        <v>21</v>
      </c>
      <c r="P54" s="5">
        <v>90</v>
      </c>
      <c r="Q54" s="41">
        <v>16</v>
      </c>
      <c r="R54" s="7">
        <v>19</v>
      </c>
      <c r="S54" s="35" t="s">
        <v>45</v>
      </c>
    </row>
    <row r="55" spans="4:19">
      <c r="I55" s="6" t="s">
        <v>26</v>
      </c>
      <c r="J55" s="5">
        <v>140</v>
      </c>
      <c r="K55" s="41">
        <v>0.1</v>
      </c>
      <c r="L55" s="7">
        <v>0.4</v>
      </c>
      <c r="M55" s="35" t="s">
        <v>45</v>
      </c>
      <c r="O55" s="6" t="s">
        <v>22</v>
      </c>
      <c r="P55" s="5">
        <v>100</v>
      </c>
      <c r="Q55" s="41">
        <v>29.8</v>
      </c>
      <c r="R55" s="7">
        <v>31.8</v>
      </c>
      <c r="S55" s="35" t="s">
        <v>45</v>
      </c>
    </row>
    <row r="56" spans="4:19">
      <c r="I56" s="6" t="s">
        <v>27</v>
      </c>
      <c r="J56" s="5">
        <v>150</v>
      </c>
      <c r="K56" s="41">
        <v>0</v>
      </c>
      <c r="L56" s="7">
        <v>0.1</v>
      </c>
      <c r="M56" s="35" t="s">
        <v>45</v>
      </c>
      <c r="O56" s="6" t="s">
        <v>23</v>
      </c>
      <c r="P56" s="5">
        <v>110</v>
      </c>
      <c r="Q56" s="41">
        <v>32.5</v>
      </c>
      <c r="R56" s="7">
        <v>36.5</v>
      </c>
      <c r="S56" s="40" t="s">
        <v>46</v>
      </c>
    </row>
    <row r="57" spans="4:19">
      <c r="S57" s="24"/>
    </row>
  </sheetData>
  <mergeCells count="16">
    <mergeCell ref="D37:V37"/>
    <mergeCell ref="D38:Q38"/>
    <mergeCell ref="D39:P39"/>
    <mergeCell ref="C15:D15"/>
    <mergeCell ref="C16:D16"/>
    <mergeCell ref="C17:D17"/>
    <mergeCell ref="C18:D18"/>
    <mergeCell ref="F15:I15"/>
    <mergeCell ref="F16:I16"/>
    <mergeCell ref="F17:I17"/>
    <mergeCell ref="F18:I18"/>
    <mergeCell ref="D47:F47"/>
    <mergeCell ref="D50:F50"/>
    <mergeCell ref="D46:F46"/>
    <mergeCell ref="D48:F48"/>
    <mergeCell ref="D49:F49"/>
  </mergeCells>
  <phoneticPr fontId="1"/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G23"/>
  <sheetViews>
    <sheetView workbookViewId="0">
      <pane ySplit="1" topLeftCell="A2" activePane="bottomLeft" state="frozenSplit"/>
      <selection pane="bottomLeft" activeCell="B5" sqref="B5:B19"/>
    </sheetView>
  </sheetViews>
  <sheetFormatPr defaultColWidth="9" defaultRowHeight="12"/>
  <cols>
    <col min="1" max="1" width="10.42578125" style="72" bestFit="1" customWidth="1"/>
    <col min="2" max="2" width="38" style="72" bestFit="1" customWidth="1"/>
    <col min="3" max="4" width="14.7109375" style="72" bestFit="1" customWidth="1"/>
    <col min="5" max="5" width="31.7109375" style="72" bestFit="1" customWidth="1"/>
    <col min="6" max="16384" width="9" style="72"/>
  </cols>
  <sheetData>
    <row r="1" spans="1:5" s="105" customFormat="1" ht="55.5" customHeight="1">
      <c r="A1" s="104" t="s">
        <v>260</v>
      </c>
      <c r="B1" s="104" t="s">
        <v>261</v>
      </c>
      <c r="C1" s="109" t="s">
        <v>226</v>
      </c>
      <c r="D1" s="104" t="s">
        <v>262</v>
      </c>
      <c r="E1" s="104" t="s">
        <v>263</v>
      </c>
    </row>
    <row r="2" spans="1:5">
      <c r="A2" s="73" t="s">
        <v>111</v>
      </c>
      <c r="B2" s="73" t="s">
        <v>264</v>
      </c>
      <c r="C2" s="73" t="s">
        <v>149</v>
      </c>
      <c r="D2" s="73" t="s">
        <v>149</v>
      </c>
      <c r="E2" s="73" t="s">
        <v>148</v>
      </c>
    </row>
    <row r="3" spans="1:5">
      <c r="A3" s="73" t="s">
        <v>110</v>
      </c>
      <c r="B3" s="73" t="s">
        <v>264</v>
      </c>
      <c r="C3" s="73" t="s">
        <v>150</v>
      </c>
      <c r="D3" s="73" t="s">
        <v>150</v>
      </c>
      <c r="E3" s="73" t="s">
        <v>148</v>
      </c>
    </row>
    <row r="4" spans="1:5">
      <c r="A4" s="73" t="s">
        <v>112</v>
      </c>
      <c r="B4" s="73" t="s">
        <v>264</v>
      </c>
      <c r="C4" s="73" t="s">
        <v>151</v>
      </c>
      <c r="D4" s="73" t="s">
        <v>151</v>
      </c>
      <c r="E4" s="73" t="s">
        <v>148</v>
      </c>
    </row>
    <row r="5" spans="1:5">
      <c r="A5" s="73" t="s">
        <v>112</v>
      </c>
      <c r="B5" s="73" t="s">
        <v>235</v>
      </c>
      <c r="C5" s="73" t="s">
        <v>152</v>
      </c>
      <c r="D5" s="73" t="s">
        <v>152</v>
      </c>
      <c r="E5" s="73" t="s">
        <v>148</v>
      </c>
    </row>
    <row r="6" spans="1:5">
      <c r="A6" s="73" t="s">
        <v>113</v>
      </c>
      <c r="B6" s="73" t="s">
        <v>235</v>
      </c>
      <c r="C6" s="73" t="s">
        <v>153</v>
      </c>
      <c r="D6" s="73" t="s">
        <v>153</v>
      </c>
      <c r="E6" s="73" t="s">
        <v>148</v>
      </c>
    </row>
    <row r="7" spans="1:5">
      <c r="A7" s="73" t="s">
        <v>114</v>
      </c>
      <c r="B7" s="73" t="s">
        <v>235</v>
      </c>
      <c r="C7" s="73" t="s">
        <v>154</v>
      </c>
      <c r="D7" s="73" t="s">
        <v>154</v>
      </c>
      <c r="E7" s="73" t="s">
        <v>148</v>
      </c>
    </row>
    <row r="8" spans="1:5">
      <c r="A8" s="73" t="s">
        <v>115</v>
      </c>
      <c r="B8" s="73" t="s">
        <v>235</v>
      </c>
      <c r="C8" s="73" t="s">
        <v>155</v>
      </c>
      <c r="D8" s="73" t="s">
        <v>155</v>
      </c>
      <c r="E8" s="73" t="s">
        <v>148</v>
      </c>
    </row>
    <row r="9" spans="1:5">
      <c r="A9" s="73" t="s">
        <v>116</v>
      </c>
      <c r="B9" s="73" t="s">
        <v>235</v>
      </c>
      <c r="C9" s="73" t="s">
        <v>156</v>
      </c>
      <c r="D9" s="73" t="s">
        <v>156</v>
      </c>
      <c r="E9" s="73" t="s">
        <v>148</v>
      </c>
    </row>
    <row r="10" spans="1:5">
      <c r="A10" s="73" t="s">
        <v>117</v>
      </c>
      <c r="B10" s="73" t="s">
        <v>235</v>
      </c>
      <c r="C10" s="73" t="s">
        <v>157</v>
      </c>
      <c r="D10" s="73" t="s">
        <v>157</v>
      </c>
      <c r="E10" s="73" t="s">
        <v>148</v>
      </c>
    </row>
    <row r="11" spans="1:5">
      <c r="A11" s="73" t="s">
        <v>118</v>
      </c>
      <c r="B11" s="73" t="s">
        <v>235</v>
      </c>
      <c r="C11" s="73" t="s">
        <v>158</v>
      </c>
      <c r="D11" s="73" t="s">
        <v>158</v>
      </c>
      <c r="E11" s="73" t="s">
        <v>148</v>
      </c>
    </row>
    <row r="12" spans="1:5">
      <c r="A12" s="73" t="s">
        <v>119</v>
      </c>
      <c r="B12" s="73" t="s">
        <v>235</v>
      </c>
      <c r="C12" s="73" t="s">
        <v>159</v>
      </c>
      <c r="D12" s="73" t="s">
        <v>159</v>
      </c>
      <c r="E12" s="73" t="s">
        <v>148</v>
      </c>
    </row>
    <row r="13" spans="1:5">
      <c r="A13" s="73" t="s">
        <v>120</v>
      </c>
      <c r="B13" s="73" t="s">
        <v>235</v>
      </c>
      <c r="C13" s="73" t="s">
        <v>160</v>
      </c>
      <c r="D13" s="73" t="s">
        <v>160</v>
      </c>
      <c r="E13" s="73" t="s">
        <v>148</v>
      </c>
    </row>
    <row r="14" spans="1:5">
      <c r="A14" s="73" t="s">
        <v>121</v>
      </c>
      <c r="B14" s="73" t="s">
        <v>235</v>
      </c>
      <c r="C14" s="73" t="s">
        <v>161</v>
      </c>
      <c r="D14" s="73" t="s">
        <v>161</v>
      </c>
      <c r="E14" s="73" t="s">
        <v>148</v>
      </c>
    </row>
    <row r="15" spans="1:5">
      <c r="A15" s="73" t="s">
        <v>116</v>
      </c>
      <c r="B15" s="73" t="s">
        <v>235</v>
      </c>
      <c r="C15" s="73" t="s">
        <v>162</v>
      </c>
      <c r="D15" s="73" t="s">
        <v>162</v>
      </c>
      <c r="E15" s="73" t="s">
        <v>148</v>
      </c>
    </row>
    <row r="16" spans="1:5">
      <c r="A16" s="73" t="s">
        <v>116</v>
      </c>
      <c r="B16" s="73" t="s">
        <v>235</v>
      </c>
      <c r="C16" s="73" t="s">
        <v>163</v>
      </c>
      <c r="D16" s="73" t="s">
        <v>163</v>
      </c>
      <c r="E16" s="73" t="s">
        <v>148</v>
      </c>
    </row>
    <row r="17" spans="1:7">
      <c r="A17" s="73" t="s">
        <v>116</v>
      </c>
      <c r="B17" s="73" t="s">
        <v>235</v>
      </c>
      <c r="C17" s="73" t="s">
        <v>164</v>
      </c>
      <c r="D17" s="73" t="s">
        <v>164</v>
      </c>
      <c r="E17" s="73" t="s">
        <v>148</v>
      </c>
    </row>
    <row r="18" spans="1:7">
      <c r="A18" s="73" t="s">
        <v>116</v>
      </c>
      <c r="B18" s="73" t="s">
        <v>235</v>
      </c>
      <c r="C18" s="73" t="s">
        <v>165</v>
      </c>
      <c r="D18" s="73" t="s">
        <v>165</v>
      </c>
      <c r="E18" s="73" t="s">
        <v>148</v>
      </c>
    </row>
    <row r="19" spans="1:7">
      <c r="A19" s="73" t="s">
        <v>116</v>
      </c>
      <c r="B19" s="73" t="s">
        <v>235</v>
      </c>
      <c r="C19" s="73" t="s">
        <v>166</v>
      </c>
      <c r="D19" s="73" t="s">
        <v>166</v>
      </c>
      <c r="E19" s="73" t="s">
        <v>148</v>
      </c>
    </row>
    <row r="23" spans="1:7">
      <c r="G23" s="108"/>
    </row>
  </sheetData>
  <autoFilter ref="A1:E19" xr:uid="{00000000-0009-0000-0000-00000B000000}"/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7" tint="0.59999389629810485"/>
  </sheetPr>
  <dimension ref="A1"/>
  <sheetViews>
    <sheetView showGridLines="0" view="pageBreakPreview" zoomScale="115" zoomScaleNormal="100" zoomScaleSheetLayoutView="115" workbookViewId="0">
      <selection activeCell="P38" sqref="P38"/>
    </sheetView>
  </sheetViews>
  <sheetFormatPr defaultColWidth="2.5703125" defaultRowHeight="9.9499999999999993" customHeight="1"/>
  <sheetData/>
  <phoneticPr fontId="1"/>
  <pageMargins left="0.25" right="0.25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C4:J19"/>
  <sheetViews>
    <sheetView workbookViewId="0">
      <selection activeCell="C4" sqref="C4"/>
    </sheetView>
  </sheetViews>
  <sheetFormatPr defaultRowHeight="15"/>
  <cols>
    <col min="2" max="2" width="5.140625" customWidth="1"/>
    <col min="3" max="3" width="18.42578125" customWidth="1"/>
    <col min="4" max="4" width="10.140625" customWidth="1"/>
  </cols>
  <sheetData>
    <row r="4" spans="3:10">
      <c r="C4" t="s">
        <v>84</v>
      </c>
      <c r="E4" t="s">
        <v>138</v>
      </c>
      <c r="F4">
        <v>1500</v>
      </c>
      <c r="G4" t="s">
        <v>139</v>
      </c>
      <c r="H4" t="s">
        <v>140</v>
      </c>
    </row>
    <row r="5" spans="3:10">
      <c r="C5" s="75">
        <v>46037</v>
      </c>
      <c r="D5" s="75" t="s">
        <v>142</v>
      </c>
      <c r="E5" t="s">
        <v>141</v>
      </c>
      <c r="G5">
        <v>111</v>
      </c>
      <c r="H5">
        <v>1</v>
      </c>
      <c r="I5">
        <v>500</v>
      </c>
      <c r="J5" t="s">
        <v>145</v>
      </c>
    </row>
    <row r="6" spans="3:10">
      <c r="G6">
        <v>111</v>
      </c>
      <c r="H6">
        <v>4</v>
      </c>
      <c r="I6">
        <v>500</v>
      </c>
      <c r="J6" t="s">
        <v>145</v>
      </c>
    </row>
    <row r="7" spans="3:10">
      <c r="G7">
        <v>111</v>
      </c>
      <c r="H7">
        <v>5</v>
      </c>
      <c r="I7">
        <v>500</v>
      </c>
      <c r="J7" t="s">
        <v>144</v>
      </c>
    </row>
    <row r="9" spans="3:10">
      <c r="D9" t="s">
        <v>143</v>
      </c>
      <c r="E9" t="s">
        <v>141</v>
      </c>
      <c r="F9">
        <v>2000</v>
      </c>
    </row>
    <row r="10" spans="3:10">
      <c r="G10">
        <v>111</v>
      </c>
      <c r="H10">
        <v>6</v>
      </c>
      <c r="I10">
        <v>500</v>
      </c>
      <c r="J10" t="s">
        <v>146</v>
      </c>
    </row>
    <row r="11" spans="3:10">
      <c r="G11">
        <v>111</v>
      </c>
      <c r="H11">
        <v>7</v>
      </c>
      <c r="I11">
        <v>500</v>
      </c>
      <c r="J11" t="s">
        <v>146</v>
      </c>
    </row>
    <row r="12" spans="3:10">
      <c r="G12">
        <v>222</v>
      </c>
      <c r="H12">
        <v>8</v>
      </c>
      <c r="I12">
        <v>500</v>
      </c>
      <c r="J12" t="s">
        <v>146</v>
      </c>
    </row>
    <row r="13" spans="3:10">
      <c r="G13">
        <v>222</v>
      </c>
      <c r="H13">
        <v>9</v>
      </c>
      <c r="I13">
        <v>500</v>
      </c>
      <c r="J13" t="s">
        <v>146</v>
      </c>
    </row>
    <row r="15" spans="3:10">
      <c r="D15" t="s">
        <v>147</v>
      </c>
      <c r="E15" t="s">
        <v>141</v>
      </c>
      <c r="F15">
        <v>2000</v>
      </c>
    </row>
    <row r="16" spans="3:10">
      <c r="G16">
        <v>333</v>
      </c>
      <c r="H16">
        <v>10</v>
      </c>
      <c r="I16">
        <v>500</v>
      </c>
      <c r="J16" t="s">
        <v>146</v>
      </c>
    </row>
    <row r="17" spans="7:10">
      <c r="G17">
        <v>333</v>
      </c>
      <c r="H17">
        <v>11</v>
      </c>
      <c r="I17">
        <v>500</v>
      </c>
      <c r="J17" t="s">
        <v>146</v>
      </c>
    </row>
    <row r="18" spans="7:10">
      <c r="G18">
        <v>333</v>
      </c>
      <c r="H18">
        <v>12</v>
      </c>
      <c r="I18">
        <v>500</v>
      </c>
      <c r="J18" t="s">
        <v>146</v>
      </c>
    </row>
    <row r="19" spans="7:10">
      <c r="G19">
        <v>333</v>
      </c>
      <c r="H19">
        <v>13</v>
      </c>
      <c r="I19">
        <v>500</v>
      </c>
      <c r="J19" t="s">
        <v>146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画面構成(Screen Layout)</vt:lpstr>
      <vt:lpstr>検索画面(Search Screen)</vt:lpstr>
      <vt:lpstr>検索グリッド(Search Grid)</vt:lpstr>
      <vt:lpstr>Sheet1</vt:lpstr>
      <vt:lpstr>検索-DATA (Search Data)</vt:lpstr>
      <vt:lpstr>登録画面(Registration Screen)</vt:lpstr>
      <vt:lpstr>マスタ編集(Master Maintenance) ①</vt:lpstr>
      <vt:lpstr>マスタDATA (Master Data)①</vt:lpstr>
      <vt:lpstr>マスタDATA (Master Data) ②</vt:lpstr>
      <vt:lpstr>マスタ編集(Master Maintenance) ②</vt:lpstr>
      <vt:lpstr>自動入力ロジック(Auto-Fill Logic)</vt:lpstr>
      <vt:lpstr>品番M-DATA (Part Number M-Data)</vt:lpstr>
      <vt:lpstr>画面テンプレート(Screen Template)</vt:lpstr>
      <vt:lpstr>Sheet2</vt:lpstr>
      <vt:lpstr>'マスタ編集(Master Maintenance) ①'!Print_Area</vt:lpstr>
      <vt:lpstr>'マスタ編集(Master Maintenance) ②'!Print_Area</vt:lpstr>
      <vt:lpstr>'検索画面(Search Screen)'!Print_Area</vt:lpstr>
      <vt:lpstr>'画面テンプレート(Screen Template)'!Print_Area</vt:lpstr>
      <vt:lpstr>'登録画面(Registration Screen)'!Print_Area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川口雅和</dc:creator>
  <cp:lastModifiedBy>Quỳnh Hữu</cp:lastModifiedBy>
  <cp:lastPrinted>2026-01-03T10:34:39Z</cp:lastPrinted>
  <dcterms:created xsi:type="dcterms:W3CDTF">2015-06-05T18:19:34Z</dcterms:created>
  <dcterms:modified xsi:type="dcterms:W3CDTF">2026-03-16T02:14:31Z</dcterms:modified>
</cp:coreProperties>
</file>